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utreach_Database" sheetId="1" state="visible" r:id="rId1"/>
    <sheet xmlns:r="http://schemas.openxmlformats.org/officeDocument/2006/relationships" name="GTM_Schedule" sheetId="2" state="visible" r:id="rId2"/>
    <sheet xmlns:r="http://schemas.openxmlformats.org/officeDocument/2006/relationships" name="Calc_Engine" sheetId="3" state="visible" r:id="rId3"/>
    <sheet xmlns:r="http://schemas.openxmlformats.org/officeDocument/2006/relationships" name="Dashboard" sheetId="4" state="visible" r:id="rId4"/>
    <sheet xmlns:r="http://schemas.openxmlformats.org/officeDocument/2006/relationships" name="Influencer Hit List" sheetId="5" state="visible" r:id="rId5"/>
    <sheet xmlns:r="http://schemas.openxmlformats.org/officeDocument/2006/relationships" name="Referral &amp; Revenue Tracker" sheetId="6" state="visible" r:id="rId6"/>
    <sheet xmlns:r="http://schemas.openxmlformats.org/officeDocument/2006/relationships" name="Social Proof Repository" sheetId="7" state="visible" r:id="rId7"/>
    <sheet xmlns:r="http://schemas.openxmlformats.org/officeDocument/2006/relationships" name="Corporate Pilot Outreach" sheetId="8" state="visible" r:id="rId8"/>
    <sheet xmlns:r="http://schemas.openxmlformats.org/officeDocument/2006/relationships" name="Telegram_War_Room" sheetId="9" state="visible" r:id="rId9"/>
    <sheet xmlns:r="http://schemas.openxmlformats.org/officeDocument/2006/relationships" name="Reddit_War_Room" sheetId="10" state="visible" r:id="rId10"/>
    <sheet xmlns:r="http://schemas.openxmlformats.org/officeDocument/2006/relationships" name="Institutional School Outreach" sheetId="11" state="visible" r:id="rId11"/>
    <sheet xmlns:r="http://schemas.openxmlformats.org/officeDocument/2006/relationships" name="influential_data_for _corporate" sheetId="12" state="visible" r:id="rId12"/>
    <sheet xmlns:r="http://schemas.openxmlformats.org/officeDocument/2006/relationships" name="To do" sheetId="13" state="visible" r:id="rId13"/>
    <sheet xmlns:r="http://schemas.openxmlformats.org/officeDocument/2006/relationships" name="FNOMO_MASTER_PIPELINE" sheetId="14" state="visible" r:id="rId14"/>
    <sheet xmlns:r="http://schemas.openxmlformats.org/officeDocument/2006/relationships" name="FNOMO_TASK_MAP" sheetId="15" state="visible" r:id="rId15"/>
    <sheet xmlns:r="http://schemas.openxmlformats.org/officeDocument/2006/relationships" name="FNOMO_EXECUTION_LOG" sheetId="16" state="visible" r:id="rId16"/>
    <sheet xmlns:r="http://schemas.openxmlformats.org/officeDocument/2006/relationships" name="FNOMO_EXECUTION_TASKS" sheetId="17" state="visible" r:id="rId17"/>
    <sheet xmlns:r="http://schemas.openxmlformats.org/officeDocument/2006/relationships" name="FNOMO_OUTREACH_READY" sheetId="18" state="visible" r:id="rId18"/>
    <sheet xmlns:r="http://schemas.openxmlformats.org/officeDocument/2006/relationships" name="FNOMO_EXECUTION_HISTORY" sheetId="19" state="visible" r:id="rId19"/>
  </sheets>
  <definedNames>
    <definedName name="_xlnm._FilterDatabase" localSheetId="1"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1">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Q151" headerRowCount="1">
  <autoFilter ref="A4:Q151"/>
  <tableColumns count="17">
    <tableColumn id="1" name="Pipeline_ID"/>
    <tableColumn id="2" name="Lead_Name"/>
    <tableColumn id="3" name="Entry_Type"/>
    <tableColumn id="4" name="Segment"/>
    <tableColumn id="5" name="Source_Sheet"/>
    <tableColumn id="6" name="Source_Ref"/>
    <tableColumn id="7" name="Tier"/>
    <tableColumn id="8" name="Stage"/>
    <tableColumn id="9" name="Owner"/>
    <tableColumn id="10" name="Last_Contact"/>
    <tableColumn id="11" name="Next_Action"/>
    <tableColumn id="12" name="Next_Action_Date"/>
    <tableColumn id="13" name="Status"/>
    <tableColumn id="14" name="Decision_Gap"/>
    <tableColumn id="15" name="Contact"/>
    <tableColumn id="16" name="Channel"/>
    <tableColumn id="17" name="Notes"/>
  </tableColumns>
  <tableStyleInfo name="TableStyleMedium2"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Not Started</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Not Started</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Not Started</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Not Started</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Not Started</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Not Started</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Not Started</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C5" s="252" t="n"/>
      <c r="D5" s="252" t="n"/>
      <c r="E5" s="253" t="n"/>
      <c r="F5" s="237">
        <f>COUNTA(GTM_Schedule!$D$5:$D$40)-COUNTIF(GTM_Schedule!$G$5:$G$40,"Done")</f>
        <v/>
      </c>
      <c r="G5" s="252" t="n"/>
      <c r="H5" s="252" t="n"/>
      <c r="I5" s="253" t="n"/>
      <c r="J5" s="238">
        <f>COUNTIF(GTM_Schedule!$G$5:$G$40,"Done")</f>
        <v/>
      </c>
      <c r="K5" s="252" t="n"/>
      <c r="L5" s="252" t="n"/>
      <c r="M5" s="253" t="n"/>
      <c r="N5" s="239">
        <f>COUNTIF(GTM_Schedule!$G$5:$G$40,"Blocked")+COUNTIF(GTM_Schedule!$G$5:$G$40,"Waiting")</f>
        <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C10" s="252" t="n"/>
      <c r="D10" s="253" t="n"/>
      <c r="E10" s="201" t="n"/>
      <c r="F10" s="241">
        <f>COUNTIF(GTM_Schedule!$G$5:$G$40,"Waiting")</f>
        <v/>
      </c>
      <c r="G10" s="252" t="n"/>
      <c r="H10" s="253" t="n"/>
      <c r="I10" s="201" t="n"/>
      <c r="J10" s="242">
        <f>COUNTIF(GTM_Schedule!$G$5:$G$40,"Blocked")</f>
        <v/>
      </c>
      <c r="K10" s="252" t="n"/>
      <c r="L10" s="253" t="n"/>
      <c r="M10" s="201" t="n"/>
      <c r="N10" s="243">
        <f>COUNTIFS(GTM_Schedule!$I$5:$I$40,"High",GTM_Schedule!$G$5:$G$40,"&lt;&gt;Done")</f>
        <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P1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New</t>
        </is>
      </c>
      <c r="G5" s="112" t="inlineStr"/>
      <c r="H5" s="185" t="inlineStr">
        <is>
          <t>Send a first-touch message that opens from the hidden cost of acting without decision validation, then ask for a short conversation.</t>
        </is>
      </c>
      <c r="I5" s="185" t="inlineStr">
        <is>
          <t>2026-05-02</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existing Tier A owner list first and log sends before expanding: Nahar, Deep Computer, Perfect World, Tirupati Foods, Sapna, Yantra, B.K., S.K., Electro Auto, T S Industrys, Cee Dee, Enterprising Engineers, Star Delta, Bora Brothers, Hind Pharma, Tesla, Righill, Kumaran, and Kakda. Use newly filled direct routes for Righill, Sameer, Kumaran, and Kakda only in controlled owner batches; keep Sameer queued Tier B until scale/intent is confirmed.</t>
        </is>
      </c>
      <c r="I6" s="189" t="inlineStr">
        <is>
          <t>2026-05-02</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t>
        </is>
      </c>
    </row>
    <row r="7" ht="25.5" customHeight="1" s="80">
      <c r="A7" s="188" t="inlineStr">
        <is>
          <t>TDL-003</t>
        </is>
      </c>
      <c r="B7" s="188" t="inlineStr"/>
      <c r="C7" s="188" t="inlineStr">
        <is>
          <t>CA Associations</t>
        </is>
      </c>
      <c r="D7" s="188" t="inlineStr">
        <is>
          <t>CA</t>
        </is>
      </c>
      <c r="E7" s="188" t="inlineStr">
        <is>
          <t>A</t>
        </is>
      </c>
      <c r="F7" s="188" t="inlineStr">
        <is>
          <t>New</t>
        </is>
      </c>
      <c r="G7" s="188" t="inlineStr"/>
      <c r="H7" s="189" t="inlineStr">
        <is>
          <t>Execute CA branch route today: Bhopal chairman + secretary, Indore chairman + secretary, then CIRC regional routing through CA Govind Agarwal only if local ownership is unclear. Regional escalation rows now have direct public mobile/email for Ankur Goyal, Ankush Jain, and Nirbhik Gandhi; Lucknow and Varanasi branch rows now have chair/secretary direct emails/mobiles but remain queued behind Bhopal/Indore first-wave logging.</t>
        </is>
      </c>
      <c r="I7" s="189" t="inlineStr">
        <is>
          <t>2026-05-02</t>
        </is>
      </c>
      <c r="J7" s="189" t="inlineStr">
        <is>
          <t>Active</t>
        </is>
      </c>
      <c r="K7" s="189" t="inlineStr">
        <is>
          <t>Channel: Direct public email + mobile from CIRC/ICAI office-bearer PDFs. | Contact: 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 | Source: Contact CA Associations | Decision_Gap: CA leaders repeatedly see clients act after gathering information, but the missing layer is validation of judgment before capital is committed. | 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t>
        </is>
      </c>
    </row>
    <row r="8" ht="25.5" customHeight="1" s="80">
      <c r="A8" s="112" t="inlineStr">
        <is>
          <t>TDL-005</t>
        </is>
      </c>
      <c r="B8" s="112" t="inlineStr">
        <is>
          <t>Shoumyan Biswas</t>
        </is>
      </c>
      <c r="C8" s="112" t="inlineStr">
        <is>
          <t>Practo</t>
        </is>
      </c>
      <c r="D8" s="112" t="inlineStr">
        <is>
          <t>Association</t>
        </is>
      </c>
      <c r="E8" s="112" t="inlineStr">
        <is>
          <t>A</t>
        </is>
      </c>
      <c r="F8" s="112" t="inlineStr">
        <is>
          <t>New</t>
        </is>
      </c>
      <c r="G8" s="112" t="inlineStr"/>
      <c r="H8" s="185" t="inlineStr">
        <is>
          <t>Send a first-touch message that opens from the hidden cost of acting without decision validation, then ask for a short conversation.</t>
        </is>
      </c>
      <c r="I8" s="185" t="inlineStr">
        <is>
          <t>2026-05-02</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t>
        </is>
      </c>
    </row>
    <row r="9" ht="25.5" customHeight="1" s="80">
      <c r="A9" s="112" t="inlineStr">
        <is>
          <t>TDL-008</t>
        </is>
      </c>
      <c r="B9" s="112" t="inlineStr">
        <is>
          <t>Saurav Goyal</t>
        </is>
      </c>
      <c r="C9" s="112" t="inlineStr">
        <is>
          <t>Swiggy</t>
        </is>
      </c>
      <c r="D9" s="112" t="inlineStr">
        <is>
          <t>Association</t>
        </is>
      </c>
      <c r="E9" s="112" t="inlineStr">
        <is>
          <t>A</t>
        </is>
      </c>
      <c r="F9" s="112" t="inlineStr">
        <is>
          <t>New</t>
        </is>
      </c>
      <c r="G9" s="112" t="inlineStr"/>
      <c r="H9" s="185" t="inlineStr">
        <is>
          <t>Send a first-touch message that opens from the hidden cost of acting without decision validation, then ask for a short conversation.</t>
        </is>
      </c>
      <c r="I9" s="185" t="inlineStr">
        <is>
          <t>2026-05-02</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t>
        </is>
      </c>
    </row>
    <row r="10" ht="25.5" customHeight="1" s="80">
      <c r="A10" s="112" t="inlineStr">
        <is>
          <t>TDL-007</t>
        </is>
      </c>
      <c r="B10" s="112" t="inlineStr">
        <is>
          <t>Abhimanyu Goyal</t>
        </is>
      </c>
      <c r="C10" s="112" t="inlineStr">
        <is>
          <t>Zomato</t>
        </is>
      </c>
      <c r="D10" s="112" t="inlineStr">
        <is>
          <t>Association</t>
        </is>
      </c>
      <c r="E10" s="112" t="inlineStr">
        <is>
          <t>A</t>
        </is>
      </c>
      <c r="F10" s="112" t="inlineStr">
        <is>
          <t>New</t>
        </is>
      </c>
      <c r="G10" s="112" t="inlineStr"/>
      <c r="H10" s="185" t="inlineStr">
        <is>
          <t>Send a first-touch message that opens from the hidden cost of acting without decision validation, then ask for a short conversation.</t>
        </is>
      </c>
      <c r="I10" s="185" t="inlineStr">
        <is>
          <t>2026-05-02</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c r="C14" s="112" t="inlineStr">
        <is>
          <t>MyGate</t>
        </is>
      </c>
      <c r="D14" s="112" t="inlineStr">
        <is>
          <t>Association</t>
        </is>
      </c>
      <c r="E14" s="112" t="inlineStr">
        <is>
          <t>B</t>
        </is>
      </c>
      <c r="F14" s="112" t="inlineStr">
        <is>
          <t>New</t>
        </is>
      </c>
      <c r="G14" s="112" t="inlineStr"/>
      <c r="H14" s="185" t="inlineStr">
        <is>
          <t>Send a first-touch message that opens from the hidden cost of acting without decision validation, then ask for a short conversation.</t>
        </is>
      </c>
      <c r="I14" s="185" t="inlineStr">
        <is>
          <t>2026-05-02</t>
        </is>
      </c>
      <c r="J14" s="185" t="inlineStr">
        <is>
          <t>Waiting</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New</t>
        </is>
      </c>
      <c r="G70" s="188" t="inlineStr"/>
      <c r="H70" s="188" t="inlineStr">
        <is>
          <t>Send chairman-first outreach asking: what was the last client money decision your members saw go wrong even though the client had enough information?</t>
        </is>
      </c>
      <c r="I70" s="188" t="inlineStr">
        <is>
          <t>2026-05-02</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t>
        </is>
      </c>
    </row>
    <row r="71">
      <c r="A71" s="188" t="inlineStr">
        <is>
          <t>SCR-CA-003</t>
        </is>
      </c>
      <c r="B71" s="188" t="inlineStr">
        <is>
          <t>Abhishek Jain</t>
        </is>
      </c>
      <c r="C71" s="188" t="inlineStr"/>
      <c r="D71" s="188" t="inlineStr">
        <is>
          <t>CA</t>
        </is>
      </c>
      <c r="E71" s="188" t="inlineStr">
        <is>
          <t>A</t>
        </is>
      </c>
      <c r="F71" s="188" t="inlineStr">
        <is>
          <t>New</t>
        </is>
      </c>
      <c r="G71" s="188" t="inlineStr"/>
      <c r="H71" s="188" t="inlineStr">
        <is>
          <t>Send secretary outreach in parallel with chairman; ask for a 12-minute call on member value around validating decisions before capital moves.</t>
        </is>
      </c>
      <c r="I71" s="188" t="inlineStr">
        <is>
          <t>2026-05-02</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New</t>
        </is>
      </c>
      <c r="G73" s="188" t="inlineStr"/>
      <c r="H73" s="188" t="inlineStr">
        <is>
          <t>Send chairman outreach tailored to Indore; open with clients who had information but no independent validation of the decision logic.</t>
        </is>
      </c>
      <c r="I73" s="188" t="inlineStr">
        <is>
          <t>2026-05-02</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New</t>
        </is>
      </c>
      <c r="G76" s="188" t="inlineStr"/>
      <c r="H76" s="188" t="inlineStr">
        <is>
          <t>Send Sandeep the owner opener today; if no reply by evening, call the primary store line and ask whether he is the right person for business/investment decision-quality conversations.</t>
        </is>
      </c>
      <c r="I76" s="188" t="inlineStr">
        <is>
          <t>2026-05-02</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New</t>
        </is>
      </c>
      <c r="G78" s="188" t="inlineStr"/>
      <c r="H78" s="188" t="inlineStr">
        <is>
          <t>Send Sumit the founder/owner opener around FMCG stock and expansion decisions; call the public phone if the email is not answered.</t>
        </is>
      </c>
      <c r="I78" s="188" t="inlineStr">
        <is>
          <t>2026-05-02</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New</t>
        </is>
      </c>
      <c r="G81" s="188" t="inlineStr"/>
      <c r="H81" s="188" t="inlineStr">
        <is>
          <t>Send proprietor-level outreach today using procurement, vendor, and working-capital decision quality as the opening lens; call official office line after email touch.</t>
        </is>
      </c>
      <c r="I81" s="188" t="inlineStr">
        <is>
          <t>2026-05-02</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New</t>
        </is>
      </c>
      <c r="G128" s="190" t="inlineStr"/>
      <c r="H128" s="190" t="inlineStr">
        <is>
          <t>Use as regional routing after Bhopal/Indore chair-secretary emails. Ask CA Govind Agarwal who owns branch/member programming for a practical conversation on validating client decisions before capital is committed.</t>
        </is>
      </c>
      <c r="I128" s="190" t="inlineStr">
        <is>
          <t>2026-05-02</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New</t>
        </is>
      </c>
      <c r="G133" s="190" t="inlineStr"/>
      <c r="H133" s="190" t="inlineStr">
        <is>
          <t>Send CMD-level outreach today after the active first-wave owner emails. Open on the last transformer capacity, procurement, or customer-credit decision that looked data-backed but still carried unvalidated assumptions.</t>
        </is>
      </c>
      <c r="I133" s="190" t="inlineStr">
        <is>
          <t>2026-05-02</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New</t>
        </is>
      </c>
      <c r="G139" s="190" t="inlineStr"/>
      <c r="H139" s="190" t="inlineStr">
        <is>
          <t>Send director-level outreach after the current owner first wave is logged. Use Vinod Sapre email/call route first; open on the last control-system, drilling-rig, VFD/SCR, or panel commitment where technical confidence still needed commercial validation before money moved.</t>
        </is>
      </c>
      <c r="I139" s="190" t="inlineStr">
        <is>
          <t>2026-05-02</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New</t>
        </is>
      </c>
      <c r="G148" s="190" t="inlineStr"/>
      <c r="H148" s="190" t="inlineStr">
        <is>
          <t>Send after the active Tier A owner batch is logged. Use sales/leadership route with a direct line on the last rail/heavy-machine fabrication, heat-exchanger, or blower-system commitment where technical confidence still needed commercial validation before money moved.</t>
        </is>
      </c>
      <c r="I148" s="190" t="inlineStr">
        <is>
          <t>2026-05-02</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sheetData>
  <mergeCells count="2">
    <mergeCell ref="A1:P1"/>
    <mergeCell ref="A2:P2"/>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2026-05-02T10:25:22Z</dcterms:modified>
</cp:coreProperties>
</file>