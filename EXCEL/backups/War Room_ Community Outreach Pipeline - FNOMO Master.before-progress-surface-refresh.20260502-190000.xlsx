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utreach_Database" sheetId="1" state="visible" r:id="rId1"/>
    <sheet xmlns:r="http://schemas.openxmlformats.org/officeDocument/2006/relationships" name="GTM_Schedule" sheetId="2" state="visible" r:id="rId2"/>
    <sheet xmlns:r="http://schemas.openxmlformats.org/officeDocument/2006/relationships" name="Calc_Engine" sheetId="3" state="visible" r:id="rId3"/>
    <sheet xmlns:r="http://schemas.openxmlformats.org/officeDocument/2006/relationships" name="Dashboard" sheetId="4" state="visible" r:id="rId4"/>
    <sheet xmlns:r="http://schemas.openxmlformats.org/officeDocument/2006/relationships" name="Influencer Hit List" sheetId="5" state="visible" r:id="rId5"/>
    <sheet xmlns:r="http://schemas.openxmlformats.org/officeDocument/2006/relationships" name="Referral &amp; Revenue Tracker" sheetId="6" state="visible" r:id="rId6"/>
    <sheet xmlns:r="http://schemas.openxmlformats.org/officeDocument/2006/relationships" name="Social Proof Repository" sheetId="7" state="visible" r:id="rId7"/>
    <sheet xmlns:r="http://schemas.openxmlformats.org/officeDocument/2006/relationships" name="Corporate Pilot Outreach" sheetId="8" state="visible" r:id="rId8"/>
    <sheet xmlns:r="http://schemas.openxmlformats.org/officeDocument/2006/relationships" name="Telegram_War_Room" sheetId="9" state="visible" r:id="rId9"/>
    <sheet xmlns:r="http://schemas.openxmlformats.org/officeDocument/2006/relationships" name="Reddit_War_Room" sheetId="10" state="visible" r:id="rId10"/>
    <sheet xmlns:r="http://schemas.openxmlformats.org/officeDocument/2006/relationships" name="Institutional School Outreach" sheetId="11" state="visible" r:id="rId11"/>
    <sheet xmlns:r="http://schemas.openxmlformats.org/officeDocument/2006/relationships" name="influential_data_for _corporate" sheetId="12" state="visible" r:id="rId12"/>
    <sheet xmlns:r="http://schemas.openxmlformats.org/officeDocument/2006/relationships" name="To do" sheetId="13" state="visible" r:id="rId13"/>
    <sheet xmlns:r="http://schemas.openxmlformats.org/officeDocument/2006/relationships" name="FNOMO_MASTER_PIPELINE" sheetId="14" state="visible" r:id="rId14"/>
    <sheet xmlns:r="http://schemas.openxmlformats.org/officeDocument/2006/relationships" name="FNOMO_TASK_MAP" sheetId="15" state="visible" r:id="rId15"/>
    <sheet xmlns:r="http://schemas.openxmlformats.org/officeDocument/2006/relationships" name="FNOMO_EXECUTION_LOG" sheetId="16" state="visible" r:id="rId16"/>
    <sheet xmlns:r="http://schemas.openxmlformats.org/officeDocument/2006/relationships" name="FNOMO_EXECUTION_TASKS" sheetId="17" state="visible" r:id="rId17"/>
    <sheet xmlns:r="http://schemas.openxmlformats.org/officeDocument/2006/relationships" name="FNOMO_OUTREACH_READY" sheetId="18" state="visible" r:id="rId18"/>
    <sheet xmlns:r="http://schemas.openxmlformats.org/officeDocument/2006/relationships" name="FNOMO_EXECUTION_HISTORY" sheetId="19" state="visible" r:id="rId19"/>
    <sheet xmlns:r="http://schemas.openxmlformats.org/officeDocument/2006/relationships" name="WHATSAPP_CA_LEADS" sheetId="20" state="visible" r:id="rId20"/>
  </sheets>
  <definedNames>
    <definedName name="_xlnm._FilterDatabase" localSheetId="1"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48">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
      <b val="1"/>
      <color rgb="00FFFFFF"/>
    </font>
  </fonts>
  <fills count="73">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s>
  <borders count="28">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s>
  <cellStyleXfs count="2">
    <xf numFmtId="0" fontId="26" fillId="0" borderId="0"/>
    <xf numFmtId="0" fontId="22" fillId="0" borderId="0"/>
  </cellStyleXfs>
  <cellXfs count="262">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xf numFmtId="0" fontId="47" fillId="52" borderId="0" applyAlignment="1" pivotButton="0" quotePrefix="0" xfId="0">
      <alignment horizontal="center"/>
    </xf>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34" t="inlineStr">
        <is>
          <t>FNOMO CRM EXECUTION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GTM_Schedule. Update task status, owner, or priority there and this dashboard becomes the daily view for Kush and Indu.</t>
        </is>
      </c>
      <c r="S3" s="32" t="n"/>
      <c r="T3" s="32" t="n"/>
      <c r="U3" s="32" t="n"/>
      <c r="V3" s="32" t="n"/>
      <c r="W3" s="32" t="n"/>
      <c r="X3" s="32" t="inlineStr">
        <is>
          <t>In Progress</t>
        </is>
      </c>
      <c r="Y3" s="32" t="inlineStr">
        <is>
          <t>Indu</t>
        </is>
      </c>
      <c r="Z3" s="32" t="inlineStr">
        <is>
          <t>Medium</t>
        </is>
      </c>
    </row>
    <row r="4" ht="15.75" customHeight="1" s="80">
      <c r="A4" s="32" t="n"/>
      <c r="B4" s="218" t="inlineStr">
        <is>
          <t>Overall Progress</t>
        </is>
      </c>
      <c r="C4" s="201" t="n"/>
      <c r="D4" s="201" t="n"/>
      <c r="E4" s="201" t="n"/>
      <c r="F4" s="218" t="inlineStr">
        <is>
          <t>Active Tasks</t>
        </is>
      </c>
      <c r="G4" s="201" t="n"/>
      <c r="H4" s="201" t="n"/>
      <c r="I4" s="201" t="n"/>
      <c r="J4" s="218" t="inlineStr">
        <is>
          <t>Completed</t>
        </is>
      </c>
      <c r="K4" s="201" t="n"/>
      <c r="L4" s="201" t="n"/>
      <c r="M4" s="201" t="n"/>
      <c r="N4" s="218" t="inlineStr">
        <is>
          <t>Needs Attention</t>
        </is>
      </c>
      <c r="O4" s="201" t="n"/>
      <c r="P4" s="201" t="n"/>
      <c r="Q4" s="201" t="n"/>
      <c r="R4" s="201" t="n"/>
      <c r="S4" s="32" t="n"/>
      <c r="T4" s="32" t="n"/>
      <c r="U4" s="32" t="n"/>
      <c r="V4" s="32" t="n"/>
      <c r="W4" s="32" t="n"/>
      <c r="X4" s="32" t="inlineStr">
        <is>
          <t>Waiting</t>
        </is>
      </c>
      <c r="Y4" s="32" t="inlineStr">
        <is>
          <t>Codex</t>
        </is>
      </c>
      <c r="Z4" s="32" t="inlineStr">
        <is>
          <t>Low</t>
        </is>
      </c>
    </row>
    <row r="5" ht="15.75" customHeight="1" s="80">
      <c r="A5" s="32" t="n"/>
      <c r="B5" s="236">
        <f>IFERROR(AVERAGE(GTM_Schedule!$J$5:$J$40),0)</f>
        <v/>
      </c>
      <c r="C5" s="252" t="n"/>
      <c r="D5" s="252" t="n"/>
      <c r="E5" s="253" t="n"/>
      <c r="F5" s="237">
        <f>COUNTA(GTM_Schedule!$D$5:$D$40)-COUNTIF(GTM_Schedule!$G$5:$G$40,"Done")</f>
        <v/>
      </c>
      <c r="G5" s="252" t="n"/>
      <c r="H5" s="252" t="n"/>
      <c r="I5" s="253" t="n"/>
      <c r="J5" s="238">
        <f>COUNTIF(GTM_Schedule!$G$5:$G$40,"Done")</f>
        <v/>
      </c>
      <c r="K5" s="252" t="n"/>
      <c r="L5" s="252" t="n"/>
      <c r="M5" s="253" t="n"/>
      <c r="N5" s="239">
        <f>COUNTIF(GTM_Schedule!$G$5:$G$40,"Blocked")+COUNTIF(GTM_Schedule!$G$5:$G$40,"Waiting")</f>
        <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18" t="inlineStr">
        <is>
          <t>In Progress</t>
        </is>
      </c>
      <c r="C9" s="201" t="n"/>
      <c r="D9" s="201" t="n"/>
      <c r="E9" s="201" t="n"/>
      <c r="F9" s="218" t="inlineStr">
        <is>
          <t>Waiting</t>
        </is>
      </c>
      <c r="G9" s="201" t="n"/>
      <c r="H9" s="201" t="n"/>
      <c r="I9" s="201" t="n"/>
      <c r="J9" s="218" t="inlineStr">
        <is>
          <t>Blocked</t>
        </is>
      </c>
      <c r="K9" s="201" t="n"/>
      <c r="L9" s="201" t="n"/>
      <c r="M9" s="201" t="n"/>
      <c r="N9" s="218" t="inlineStr">
        <is>
          <t>High Priority Open</t>
        </is>
      </c>
      <c r="O9" s="201" t="n"/>
      <c r="P9" s="201" t="n"/>
      <c r="Q9" s="201" t="n"/>
      <c r="R9" s="201" t="n"/>
      <c r="S9" s="32" t="n"/>
      <c r="T9" s="32" t="n"/>
      <c r="U9" s="32" t="n"/>
      <c r="V9" s="32" t="n"/>
      <c r="W9" s="32" t="n"/>
      <c r="X9" s="32" t="n"/>
      <c r="Y9" s="32" t="n"/>
      <c r="Z9" s="32" t="n"/>
    </row>
    <row r="10" ht="15.75" customHeight="1" s="80">
      <c r="A10" s="32" t="n"/>
      <c r="B10" s="240">
        <f>COUNTIF(GTM_Schedule!$G$5:$G$40,"In Progress")</f>
        <v/>
      </c>
      <c r="C10" s="252" t="n"/>
      <c r="D10" s="253" t="n"/>
      <c r="E10" s="201" t="n"/>
      <c r="F10" s="241">
        <f>COUNTIF(GTM_Schedule!$G$5:$G$40,"Waiting")</f>
        <v/>
      </c>
      <c r="G10" s="252" t="n"/>
      <c r="H10" s="253" t="n"/>
      <c r="I10" s="201" t="n"/>
      <c r="J10" s="242">
        <f>COUNTIF(GTM_Schedule!$G$5:$G$40,"Blocked")</f>
        <v/>
      </c>
      <c r="K10" s="252" t="n"/>
      <c r="L10" s="253" t="n"/>
      <c r="M10" s="201" t="n"/>
      <c r="N10" s="243">
        <f>COUNTIFS(GTM_Schedule!$I$5:$I$40,"High",GTM_Schedule!$G$5:$G$40,"&lt;&gt;Done")</f>
        <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2.5"/>
  <cols>
    <col width="40.36328125" customWidth="1" style="80" min="1" max="1"/>
  </cols>
  <sheetData>
    <row r="1" ht="44" customHeight="1" s="80">
      <c r="A1" s="82" t="inlineStr">
        <is>
          <t>Name</t>
        </is>
      </c>
      <c r="B1" s="82" t="inlineStr">
        <is>
          <t>Title</t>
        </is>
      </c>
      <c r="C1" s="82" t="inlineStr">
        <is>
          <t>linkedin</t>
        </is>
      </c>
      <c r="D1" s="83" t="inlineStr">
        <is>
          <t>prospect_company_name</t>
        </is>
      </c>
      <c r="E1" s="82" t="inlineStr">
        <is>
          <t>company website</t>
        </is>
      </c>
      <c r="F1" s="82" t="inlineStr">
        <is>
          <t>linkedin</t>
        </is>
      </c>
      <c r="G1" s="82" t="inlineStr">
        <is>
          <t>Email</t>
        </is>
      </c>
      <c r="H1" s="82" t="inlineStr">
        <is>
          <t>mobile phone</t>
        </is>
      </c>
    </row>
    <row r="2" ht="101.5" customHeight="1" s="80">
      <c r="A2" s="84" t="inlineStr">
        <is>
          <t>Ujwal Kumar</t>
        </is>
      </c>
      <c r="B2" s="84" t="inlineStr">
        <is>
          <t>Director supply chain operations</t>
        </is>
      </c>
      <c r="C2" s="85" t="inlineStr">
        <is>
          <t>linkedin.com/in/ACoAAAdGMZsBVa_ZxjzuRnsaZZG1yQY0jeo-tL4</t>
        </is>
      </c>
      <c r="D2" s="84" t="inlineStr">
        <is>
          <t>Zomato</t>
        </is>
      </c>
      <c r="E2" s="86" t="inlineStr">
        <is>
          <t>zomato.com</t>
        </is>
      </c>
      <c r="F2" s="86" t="inlineStr">
        <is>
          <t>linkedin.com/company/zomato</t>
        </is>
      </c>
      <c r="G2" s="87" t="n"/>
      <c r="H2" s="87" t="n"/>
    </row>
    <row r="3" ht="89" customHeight="1" s="80">
      <c r="A3" s="84" t="inlineStr">
        <is>
          <t>Abhimanyu Goyal</t>
        </is>
      </c>
      <c r="B3" s="84" t="inlineStr">
        <is>
          <t>Cluster logs leader / chief operating officer</t>
        </is>
      </c>
      <c r="C3" s="85" t="inlineStr">
        <is>
          <t>linkedin.com/in/ACoAACcL4ysBxztc1XDYyDzZKieXn66hIH-Bx84</t>
        </is>
      </c>
      <c r="D3" s="84" t="inlineStr">
        <is>
          <t>Zomato</t>
        </is>
      </c>
      <c r="E3" s="86" t="inlineStr">
        <is>
          <t>zomato.com</t>
        </is>
      </c>
      <c r="F3" s="86" t="inlineStr">
        <is>
          <t>linkedin.com/company/zomato</t>
        </is>
      </c>
      <c r="G3" s="84" t="inlineStr">
        <is>
          <t>abhimanyu.goyal@zomato.com</t>
        </is>
      </c>
      <c r="H3" s="87" t="n"/>
    </row>
    <row r="4" ht="101.5" customHeight="1" s="80">
      <c r="A4" s="84" t="inlineStr">
        <is>
          <t>Dushyant Chaturvedi</t>
        </is>
      </c>
      <c r="B4" s="84" t="inlineStr">
        <is>
          <t>Head of business &amp; operations, b2b</t>
        </is>
      </c>
      <c r="C4" s="85" t="inlineStr">
        <is>
          <t>linkedin.com/in/ACoAAAnqTjMBVls-pr0iMPV0pdcMwMxMKb-G85c</t>
        </is>
      </c>
      <c r="D4" s="84" t="inlineStr">
        <is>
          <t>Internshala</t>
        </is>
      </c>
      <c r="E4" s="86" t="inlineStr">
        <is>
          <t>internshala.com</t>
        </is>
      </c>
      <c r="F4" s="86" t="inlineStr">
        <is>
          <t>linkedin.com/company/internshala</t>
        </is>
      </c>
      <c r="G4" s="84" t="inlineStr">
        <is>
          <t>dushyant.chaturvedi@internshala.com</t>
        </is>
      </c>
      <c r="H4" s="87" t="n"/>
    </row>
    <row r="5" ht="101.5" customHeight="1" s="80">
      <c r="A5" s="84" t="inlineStr">
        <is>
          <t>Seetesh Srivastava Igbc ApÂ®, Mrics</t>
        </is>
      </c>
      <c r="B5" s="84" t="inlineStr">
        <is>
          <t>Director of administration &amp; operations support</t>
        </is>
      </c>
      <c r="C5" s="85" t="inlineStr">
        <is>
          <t>linkedin.com/in/ACoAAAKGUaAB2gcDBsF6wutpfzsqg57BQ0KtKWQ</t>
        </is>
      </c>
      <c r="D5" s="84" t="inlineStr">
        <is>
          <t>Blinkit</t>
        </is>
      </c>
      <c r="E5" s="86" t="inlineStr">
        <is>
          <t>blinkit.com</t>
        </is>
      </c>
      <c r="F5" s="86" t="inlineStr">
        <is>
          <t>linkedin.com/company/letsblinkit</t>
        </is>
      </c>
      <c r="G5" s="87" t="n"/>
      <c r="H5" s="87" t="n"/>
    </row>
    <row r="6" ht="89" customHeight="1" s="80">
      <c r="A6" s="88" t="inlineStr">
        <is>
          <t>Rishabh Pandey</t>
        </is>
      </c>
      <c r="B6" s="84" t="inlineStr">
        <is>
          <t>Director operations</t>
        </is>
      </c>
      <c r="C6" s="85" t="inlineStr">
        <is>
          <t>linkedin.com/in/ACoAAAGtJgYBzg2y-xJdFVmcSEWHIUJufv-gAYY</t>
        </is>
      </c>
      <c r="D6" s="84" t="inlineStr">
        <is>
          <t>Blinkit</t>
        </is>
      </c>
      <c r="E6" s="86" t="inlineStr">
        <is>
          <t>blinkit.com</t>
        </is>
      </c>
      <c r="F6" s="86" t="inlineStr">
        <is>
          <t>linkedin.com/company/letsblinkit</t>
        </is>
      </c>
      <c r="G6" s="87" t="n"/>
      <c r="H6" s="89" t="n">
        <v>919953894326</v>
      </c>
    </row>
    <row r="7" ht="101.5" customHeight="1" s="80">
      <c r="A7" s="84" t="inlineStr">
        <is>
          <t>Nikita Patankar</t>
        </is>
      </c>
      <c r="B7" s="84" t="inlineStr">
        <is>
          <t>Director of product management</t>
        </is>
      </c>
      <c r="C7" s="85" t="inlineStr">
        <is>
          <t>linkedin.com/in/ACoAABkg3BMB3XX3HcheH3KnhuTcnoBCCQp_LX0</t>
        </is>
      </c>
      <c r="D7" s="84" t="inlineStr">
        <is>
          <t>Nobroker</t>
        </is>
      </c>
      <c r="E7" s="86" t="inlineStr">
        <is>
          <t>nobroker.in</t>
        </is>
      </c>
      <c r="F7" s="86" t="inlineStr">
        <is>
          <t>linkedin.com/company/nobroker-in</t>
        </is>
      </c>
      <c r="G7" s="84" t="inlineStr">
        <is>
          <t>nikita.patankar@nobroker.in</t>
        </is>
      </c>
      <c r="H7" s="87" t="n"/>
    </row>
    <row r="8" ht="101.5" customHeight="1" s="80">
      <c r="A8" s="84" t="inlineStr">
        <is>
          <t>Samir Mohammed</t>
        </is>
      </c>
      <c r="B8" s="84" t="inlineStr">
        <is>
          <t>Head of sales &amp; marketing</t>
        </is>
      </c>
      <c r="C8" s="85" t="inlineStr">
        <is>
          <t>linkedin.com/in/ACoAAC4vLwMBkqcxQ9uGx-QoOoyG_nfu9UFJGiE</t>
        </is>
      </c>
      <c r="D8" s="84" t="inlineStr">
        <is>
          <t>Nobroker</t>
        </is>
      </c>
      <c r="E8" s="86" t="inlineStr">
        <is>
          <t>nobroker.in</t>
        </is>
      </c>
      <c r="F8" s="86" t="inlineStr">
        <is>
          <t>linkedin.com/company/nobroker-in</t>
        </is>
      </c>
      <c r="G8" s="84" t="inlineStr">
        <is>
          <t>samir.mohammed@nobroker.in</t>
        </is>
      </c>
      <c r="H8" s="90" t="inlineStr">
        <is>
          <t>971 50 125 7753</t>
        </is>
      </c>
    </row>
    <row r="9" ht="102" customHeight="1" s="80">
      <c r="A9" s="84" t="inlineStr">
        <is>
          <t>Kayshel Ophelia Fernandes</t>
        </is>
      </c>
      <c r="B9" s="84" t="inlineStr">
        <is>
          <t>Associate director - communications &amp; public relations</t>
        </is>
      </c>
      <c r="C9" s="85" t="inlineStr">
        <is>
          <t>linkedin.com/in/ACoAAAuddjABEIHn3elPpO5RwhKvT2vYx67Z_yQ</t>
        </is>
      </c>
      <c r="D9" s="84" t="inlineStr">
        <is>
          <t>Practo</t>
        </is>
      </c>
      <c r="E9" s="86" t="inlineStr">
        <is>
          <t>practo.com</t>
        </is>
      </c>
      <c r="F9" s="86" t="inlineStr">
        <is>
          <t>linkedin.com/company/practo-technologies-pvt-ltd</t>
        </is>
      </c>
      <c r="G9" s="87" t="n"/>
      <c r="H9" s="84" t="n">
        <v>919987386811</v>
      </c>
    </row>
    <row r="10" ht="101.5" customHeight="1" s="80">
      <c r="A10" s="84" t="inlineStr">
        <is>
          <t>Bhargav Yellapragada</t>
        </is>
      </c>
      <c r="B10" s="84" t="inlineStr">
        <is>
          <t>Chief operating officer</t>
        </is>
      </c>
      <c r="C10" s="85" t="inlineStr">
        <is>
          <t>linkedin.com/in/ACoAAAfhhOEBhP4u4GondMFdJR0IY3fIGVnYOoU</t>
        </is>
      </c>
      <c r="D10" s="84" t="inlineStr">
        <is>
          <t>Zomato</t>
        </is>
      </c>
      <c r="E10" s="86" t="inlineStr">
        <is>
          <t>zomato.com</t>
        </is>
      </c>
      <c r="F10" s="86" t="inlineStr">
        <is>
          <t>linkedin.com/company/zomato</t>
        </is>
      </c>
      <c r="G10" s="87" t="n"/>
      <c r="H10" s="87" t="n"/>
    </row>
    <row r="11" ht="101.5" customHeight="1" s="80">
      <c r="A11" s="84" t="inlineStr">
        <is>
          <t>Shoumyan Biswas</t>
        </is>
      </c>
      <c r="B11" s="84" t="inlineStr">
        <is>
          <t>Global chief marketing and strategy officer</t>
        </is>
      </c>
      <c r="C11" s="85" t="inlineStr">
        <is>
          <t>linkedin.com/in/ACoAAAePDp0BIhqdmPD_PeQYYCZa_sbDlyzNKkE</t>
        </is>
      </c>
      <c r="D11" s="84" t="inlineStr">
        <is>
          <t>Practo</t>
        </is>
      </c>
      <c r="E11" s="86" t="inlineStr">
        <is>
          <t>practo.com</t>
        </is>
      </c>
      <c r="F11" s="86" t="inlineStr">
        <is>
          <t>linkedin.com/company/practo-technologies-pvt-ltd</t>
        </is>
      </c>
      <c r="G11" s="84" t="inlineStr">
        <is>
          <t>shoumyan.biswas@practo.com</t>
        </is>
      </c>
      <c r="H11" s="87" t="n"/>
    </row>
    <row r="12" ht="131" customHeight="1" s="80">
      <c r="A12" s="84" t="inlineStr">
        <is>
          <t>Saurav Goyal</t>
        </is>
      </c>
      <c r="B12" s="84" t="inlineStr">
        <is>
          <t>Senior vice president - driver and delivery product &amp; operations</t>
        </is>
      </c>
      <c r="C12" s="85" t="inlineStr">
        <is>
          <t>linkedin.com/in/ACoAAAGpukwBQfzAD4Mrksj5WYI4Kls0OH6IIiE</t>
        </is>
      </c>
      <c r="D12" s="84" t="inlineStr">
        <is>
          <t>Swiggy</t>
        </is>
      </c>
      <c r="E12" s="86" t="inlineStr">
        <is>
          <t>careers.swiggy.com</t>
        </is>
      </c>
      <c r="F12" s="86" t="inlineStr">
        <is>
          <t>linkedin.com/company/swiggy-in</t>
        </is>
      </c>
      <c r="G12" s="84" t="inlineStr">
        <is>
          <t>saurav.goyal@swiggy.in</t>
        </is>
      </c>
      <c r="H12" s="87" t="n"/>
    </row>
    <row r="13" ht="101.5" customHeight="1" s="80">
      <c r="A13" s="84" t="inlineStr">
        <is>
          <t>Jay B.</t>
        </is>
      </c>
      <c r="B13" s="84" t="inlineStr">
        <is>
          <t>Manager - strategy &amp; operations, ceo's office</t>
        </is>
      </c>
      <c r="C13" s="85" t="inlineStr">
        <is>
          <t>linkedin.com/in/ACoAABg4CcEBBzX92mLXqN8Ho_VQaqR0bhjWtG4</t>
        </is>
      </c>
      <c r="D13" s="84" t="inlineStr">
        <is>
          <t>Practo</t>
        </is>
      </c>
      <c r="E13" s="86" t="inlineStr">
        <is>
          <t>practo.com</t>
        </is>
      </c>
      <c r="F13" s="86" t="inlineStr">
        <is>
          <t>linkedin.com/company/practo-technologies-pvt-ltd</t>
        </is>
      </c>
      <c r="G13" s="87" t="n"/>
      <c r="H13" s="87" t="n"/>
    </row>
    <row r="14" ht="101.5" customHeight="1" s="80">
      <c r="A14" s="84" t="inlineStr">
        <is>
          <t>Shilpi Srivastav</t>
        </is>
      </c>
      <c r="B14" s="84" t="inlineStr">
        <is>
          <t>Brand &amp; revenue head - noice</t>
        </is>
      </c>
      <c r="C14" s="85" t="inlineStr">
        <is>
          <t>linkedin.com/in/ACoAAAvrkjcB0sYhlZe-rl-XALdGGWJ5SUd08jk</t>
        </is>
      </c>
      <c r="D14" s="84" t="inlineStr">
        <is>
          <t>Swiggy</t>
        </is>
      </c>
      <c r="E14" s="86" t="inlineStr">
        <is>
          <t>careers.swiggy.com</t>
        </is>
      </c>
      <c r="F14" s="86" t="inlineStr">
        <is>
          <t>linkedin.com/company/swiggy-in</t>
        </is>
      </c>
      <c r="G14" s="84" t="inlineStr">
        <is>
          <t>shilpi.srivastav@swiggy.in</t>
        </is>
      </c>
      <c r="H14" s="87" t="n"/>
    </row>
    <row r="15" ht="101.5" customHeight="1" s="80">
      <c r="A15" s="84" t="inlineStr">
        <is>
          <t>Firoz Alam</t>
        </is>
      </c>
      <c r="B15" s="84" t="inlineStr">
        <is>
          <t>Operations head</t>
        </is>
      </c>
      <c r="C15" s="85" t="inlineStr">
        <is>
          <t>linkedin.com/in/ACoAAASWdMABVr49X_K-5pmD1TfDGnryY9cAvBQ</t>
        </is>
      </c>
      <c r="D15" s="84" t="inlineStr">
        <is>
          <t>Blinkit</t>
        </is>
      </c>
      <c r="E15" s="86" t="inlineStr">
        <is>
          <t>blinkit.com</t>
        </is>
      </c>
      <c r="F15" s="86" t="inlineStr">
        <is>
          <t>linkedin.com/company/letsblinkit</t>
        </is>
      </c>
      <c r="G15" s="84" t="inlineStr">
        <is>
          <t>firozalam@blinkit.com</t>
        </is>
      </c>
      <c r="H15" s="87" t="n"/>
    </row>
    <row r="16" ht="101.5" customHeight="1" s="80">
      <c r="A16" s="84" t="inlineStr">
        <is>
          <t>Shikhar Baveja</t>
        </is>
      </c>
      <c r="B16" s="84" t="inlineStr">
        <is>
          <t>Director - planning and sales operations</t>
        </is>
      </c>
      <c r="C16" s="85" t="inlineStr">
        <is>
          <t>linkedin.com/in/ACoAAA6BZPEBJs3oTWp8tl9cBvGNYhah9ayVhH0</t>
        </is>
      </c>
      <c r="D16" s="84" t="inlineStr">
        <is>
          <t>Swiggy</t>
        </is>
      </c>
      <c r="E16" s="86" t="inlineStr">
        <is>
          <t>careers.swiggy.com</t>
        </is>
      </c>
      <c r="F16" s="86" t="inlineStr">
        <is>
          <t>linkedin.com/company/swiggy-in</t>
        </is>
      </c>
      <c r="G16" s="84" t="inlineStr">
        <is>
          <t>shikhar.baveja@swiggy.in</t>
        </is>
      </c>
      <c r="H16" s="87" t="n"/>
    </row>
    <row r="17" ht="89" customHeight="1" s="80">
      <c r="A17" s="84" t="inlineStr">
        <is>
          <t>Romeo Ghosh</t>
        </is>
      </c>
      <c r="B17" s="84" t="inlineStr">
        <is>
          <t>Associate director - marketing &amp; new initiatives</t>
        </is>
      </c>
      <c r="C17" s="85" t="inlineStr">
        <is>
          <t>linkedin.com/in/ACoAABtfdPUBlEWxTuCdpAfhZpBzjKsCIkibhjA</t>
        </is>
      </c>
      <c r="D17" s="84" t="inlineStr">
        <is>
          <t>Nobroker</t>
        </is>
      </c>
      <c r="E17" s="86" t="inlineStr">
        <is>
          <t>nobroker.in</t>
        </is>
      </c>
      <c r="F17" s="86" t="inlineStr">
        <is>
          <t>linkedin.com/company/nobroker-in</t>
        </is>
      </c>
      <c r="G17" s="84" t="inlineStr">
        <is>
          <t>romeo.ghosh@nobroker.in</t>
        </is>
      </c>
      <c r="H17" s="84" t="n">
        <v>918376061525</v>
      </c>
    </row>
    <row r="18" ht="116.5" customHeight="1" s="80">
      <c r="A18" s="84" t="inlineStr">
        <is>
          <t>Kopal Seth</t>
        </is>
      </c>
      <c r="B18" s="84" t="inlineStr">
        <is>
          <t>Vp- learning content strategy and program operations</t>
        </is>
      </c>
      <c r="C18" s="85" t="inlineStr">
        <is>
          <t>linkedin.com/in/ACoAAB9zp4IBoTVDi-sQWxmsQ2zk_Y5ebNXKwqk</t>
        </is>
      </c>
      <c r="D18" s="84" t="inlineStr">
        <is>
          <t>Internshala</t>
        </is>
      </c>
      <c r="E18" s="86" t="inlineStr">
        <is>
          <t>internshala.com</t>
        </is>
      </c>
      <c r="F18" s="86" t="inlineStr">
        <is>
          <t>linkedin.com/company/internshala</t>
        </is>
      </c>
      <c r="G18" s="84" t="inlineStr">
        <is>
          <t>kopal@internshala.com</t>
        </is>
      </c>
      <c r="H18" s="87" t="n"/>
    </row>
    <row r="19" ht="101.5" customHeight="1" s="80">
      <c r="A19" s="84" t="inlineStr">
        <is>
          <t>Abuzar Jamal</t>
        </is>
      </c>
      <c r="B19" s="84" t="inlineStr">
        <is>
          <t>Director - business operations</t>
        </is>
      </c>
      <c r="C19" s="85" t="inlineStr">
        <is>
          <t>linkedin.com/in/ACoAABy7XtYBHgA5V1kKvWMTzdBMHupJsqD7rjM</t>
        </is>
      </c>
      <c r="D19" s="84" t="inlineStr">
        <is>
          <t>Collegedunia</t>
        </is>
      </c>
      <c r="E19" s="86" t="inlineStr">
        <is>
          <t>collegedunia.com</t>
        </is>
      </c>
      <c r="F19" s="86" t="inlineStr">
        <is>
          <t>linkedin.com/school/collegedunia</t>
        </is>
      </c>
      <c r="G19" s="84" t="inlineStr">
        <is>
          <t>abuzar.jamal@collegedunia.com</t>
        </is>
      </c>
      <c r="H19" s="87" t="n"/>
    </row>
    <row r="20" ht="101.5" customHeight="1" s="80">
      <c r="A20" s="84" t="inlineStr">
        <is>
          <t>Pratyush (pratyush Nishantkar) N.</t>
        </is>
      </c>
      <c r="B20" s="84" t="inlineStr">
        <is>
          <t>Head of product - cashback &amp; rewards</t>
        </is>
      </c>
      <c r="C20" s="85" t="inlineStr">
        <is>
          <t>linkedin.com/in/ACoAABH-xyMBi7swKOpC2Ofo7cJxcdUC5024Im8</t>
        </is>
      </c>
      <c r="D20" s="84" t="inlineStr">
        <is>
          <t>Collegedunia</t>
        </is>
      </c>
      <c r="E20" s="86" t="inlineStr">
        <is>
          <t>collegedunia.com</t>
        </is>
      </c>
      <c r="F20" s="86" t="inlineStr">
        <is>
          <t>linkedin.com/school/collegedunia</t>
        </is>
      </c>
      <c r="G20" s="84" t="inlineStr">
        <is>
          <t>pratyush.nishantkar@collegedunia.com</t>
        </is>
      </c>
      <c r="H20" s="87" t="n"/>
    </row>
    <row r="21" ht="101.5" customHeight="1" s="80">
      <c r="A21" s="84" t="inlineStr">
        <is>
          <t>Suhas Mishra</t>
        </is>
      </c>
      <c r="B21" s="84" t="inlineStr">
        <is>
          <t>Director of product management</t>
        </is>
      </c>
      <c r="C21" s="85" t="inlineStr">
        <is>
          <t>linkedin.com/in/ACoAAALgKlQBSWSrDYpPs9_tq67jTOqoGRsMe7k</t>
        </is>
      </c>
      <c r="D21" s="84" t="inlineStr">
        <is>
          <t>Housing</t>
        </is>
      </c>
      <c r="E21" s="86" t="inlineStr">
        <is>
          <t>housing.com</t>
        </is>
      </c>
      <c r="F21" s="86" t="inlineStr">
        <is>
          <t>linkedin.com/company/housing-com</t>
        </is>
      </c>
      <c r="G21" s="84" t="inlineStr">
        <is>
          <t>suhas.mishra@housing.com</t>
        </is>
      </c>
      <c r="H21" s="87" t="n"/>
    </row>
    <row r="22" ht="102" customHeight="1" s="80">
      <c r="A22" s="84" t="inlineStr">
        <is>
          <t>Prakash Singhal</t>
        </is>
      </c>
      <c r="B22" s="84" t="inlineStr">
        <is>
          <t>Zonal head - karnataka, kerala &amp; alliances - south</t>
        </is>
      </c>
      <c r="C22" s="85" t="inlineStr">
        <is>
          <t>linkedin.com/in/ACoAAAJ8MvoBa1hloZzn3EQNqzhpHkMKoUm1Rbw</t>
        </is>
      </c>
      <c r="D22" s="84" t="inlineStr">
        <is>
          <t>Housing</t>
        </is>
      </c>
      <c r="E22" s="86" t="inlineStr">
        <is>
          <t>housing.com</t>
        </is>
      </c>
      <c r="F22" s="86" t="inlineStr">
        <is>
          <t>linkedin.com/company/housing-com</t>
        </is>
      </c>
      <c r="G22" s="84" t="inlineStr">
        <is>
          <t>prakash.singhal@housing.com</t>
        </is>
      </c>
      <c r="H22" s="84" t="n">
        <v>918882211110</v>
      </c>
    </row>
    <row r="23" ht="102" customHeight="1" s="80">
      <c r="A23" s="84" t="inlineStr">
        <is>
          <t>Shruti Garg</t>
        </is>
      </c>
      <c r="B23" s="84" t="inlineStr">
        <is>
          <t>Director - customer insights and campaign management</t>
        </is>
      </c>
      <c r="C23" s="85" t="inlineStr">
        <is>
          <t>linkedin.com/in/ACoAAAL3gLcBTOAFv3hPitlSN7Cfc9Eo7DLH8VY</t>
        </is>
      </c>
      <c r="D23" s="84" t="inlineStr">
        <is>
          <t>Housing</t>
        </is>
      </c>
      <c r="E23" s="86" t="inlineStr">
        <is>
          <t>housing.com</t>
        </is>
      </c>
      <c r="F23" s="86" t="inlineStr">
        <is>
          <t>linkedin.com/company/housing-com</t>
        </is>
      </c>
      <c r="G23" s="84" t="inlineStr">
        <is>
          <t>shruti.garg@housing.com</t>
        </is>
      </c>
      <c r="H23" s="87" t="n"/>
    </row>
    <row r="24" ht="101.5" customHeight="1" s="80">
      <c r="A24" s="84" t="inlineStr">
        <is>
          <t>Kenneth Saldanha</t>
        </is>
      </c>
      <c r="B24" s="84" t="inlineStr">
        <is>
          <t>Director - marketing</t>
        </is>
      </c>
      <c r="C24" s="85" t="inlineStr">
        <is>
          <t>linkedin.com/in/ACoAAA-bMaQBVMD-qix9dFtM6jjRwPi2-ux_e0M</t>
        </is>
      </c>
      <c r="D24" s="84" t="inlineStr">
        <is>
          <t>Mygate</t>
        </is>
      </c>
      <c r="E24" s="86" t="inlineStr">
        <is>
          <t>mygate.com</t>
        </is>
      </c>
      <c r="F24" s="86" t="inlineStr">
        <is>
          <t>linkedin.com/company/mygatecom</t>
        </is>
      </c>
      <c r="G24" s="84" t="inlineStr">
        <is>
          <t>kenneth.saldanha@mygate.com</t>
        </is>
      </c>
      <c r="H24" s="87" t="n"/>
    </row>
    <row r="25" ht="101.5" customHeight="1" s="80">
      <c r="A25" s="84" t="inlineStr">
        <is>
          <t>Praful Bele</t>
        </is>
      </c>
      <c r="B25" s="84" t="inlineStr">
        <is>
          <t>City head, mumbai</t>
        </is>
      </c>
      <c r="C25" s="85" t="inlineStr">
        <is>
          <t>linkedin.com/in/ACoAACP9cSsBxG3-Wlh5EwQyoIyMqIEpRcInPWw</t>
        </is>
      </c>
      <c r="D25" s="84" t="inlineStr">
        <is>
          <t>Collegedunia</t>
        </is>
      </c>
      <c r="E25" s="86" t="inlineStr">
        <is>
          <t>collegedunia.com</t>
        </is>
      </c>
      <c r="F25" s="86" t="inlineStr">
        <is>
          <t>linkedin.com/school/collegedunia</t>
        </is>
      </c>
      <c r="G25" s="84" t="inlineStr">
        <is>
          <t>praful.bele@collegedunia.com</t>
        </is>
      </c>
      <c r="H25" s="84" t="n">
        <v>918779320849</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242"/>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3"/>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Follow up on the sent outreach and ask where decision hesitation is still blocking user conversion or trust monetization.</t>
        </is>
      </c>
      <c r="I5" s="185" t="inlineStr">
        <is>
          <t>2026-05-04</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Execute and log the existing Tier A owner sends first. Next controlled owner batch: Parvati, GEI, and C.J. Gelatine only; phone-verify Autosign/Farmila before any promotion.</t>
        </is>
      </c>
      <c r="I6" s="189" t="inlineStr">
        <is>
          <t>2026-05-03</t>
        </is>
      </c>
      <c r="J6" s="189" t="inlineStr">
        <is>
          <t>Active</t>
        </is>
      </c>
      <c r="K6" s="189" t="inlineStr">
        <is>
          <t>Channel: Owner email + public business phone; call only after first email touch. | Contact: Tier A verified/promoted: Nahar, Deep, Perfect World, Tirupati, Sapna, Yantra, B.K. Bhatia, S.K./Saurabh Gulati, J.B. Sangwan, Yateesh Kumar, Vikas Prakash, K.G./Nitin/Aparna Bansal, Kishore Gupta, Vijay Bora, Dr. R.S. Goswami, Jaideep Jain, Vinod Sapre/Righill, K.M. Kumar/Kumaran, N.K./Neeraj Goel/Kakda, Poonam Chouksey/Parvati, C.E. Fernandes/GEI, Jaspal Singh/C.J. Gelatine. | Source: Identify Business Owners &gt;2Cr | Decision_Gap: Owner-led businesses commit money to stock, capex, vendor, expansion, and personal investment decisions before anyone stress-tests the thinking behind the move. | Tier A discipline: send named owner/MD/CEO/founder routes first; call only after email touch except Kakda where call-first is cleaner because public email confidence is mixed. Do not promote queued Tier B rows until first-wave owner sends are logged or scale is verified. | [2026-05-02 overnight] Strengthened official/public routes for Parvati, GEI, C.J. Gelatine, Autosign, and Farmila. Owner send order stays: logged Tier A first, then Parvati/GEI/C.J.; Autosign/Farmila remain phone-verify queues.</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Log the current Bhopal/Indore CA follow-ups first. If no reply after the 48h window, use Abhay Chhajed as Bhopal ex-officio escalation; keep Anand Jain and Pankaj Shah as Indore/CIRC routing support.</t>
        </is>
      </c>
      <c r="I7" s="189" t="inlineStr">
        <is>
          <t>2026-05-04</t>
        </is>
      </c>
      <c r="J7" s="189" t="inlineStr">
        <is>
          <t>Active</t>
        </is>
      </c>
      <c r="K7" s="189" t="inlineStr">
        <is>
          <t>Channel: Direct public email + mobile from CIRC/ICAI office-bearer PDFs and current CIRC regional/central council page. | Contact: First wave: Arpit Rai, Abhishek Jain, Rajat Dhanuka, Milind Wadhwani. Bhopal escalation: CA Abhay Chhajed, Central Council Member, 9009044477, chhajed_abhay@hotmail.com. Indore/CIRC support: CA Anand Jain, 8818800095, anandjain812@gmail.com; CA Pankaj Shah, 9691893040, pankajgshah@gmail.com. Regional routing: CA Govind Agarwal/CIRC. | Source: Contact CA Associations | Decision_Gap: CA leaders repeatedly see clients act after gathering information, but the missing layer is validation of judgment before capital is committed. | Trust gateway order remains strict: city office bearers first, regional/Central Council escalation only after first-wave logging. | [2026-05-02 overnight] Added current CIRC regional/central public routes as controlled escalation rows; do not bypass chair/secretary touches unless ownership stalls.</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Follow up on the sent outreach and ask where decision hesitation is still blocking user conversion or trust monetization.</t>
        </is>
      </c>
      <c r="I8" s="185" t="inlineStr">
        <is>
          <t>2026-05-04</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t>
        </is>
      </c>
    </row>
    <row r="9" ht="25.5" customHeight="1" s="80">
      <c r="A9" s="112" t="inlineStr">
        <is>
          <t>TDL-008</t>
        </is>
      </c>
      <c r="B9" s="112" t="inlineStr">
        <is>
          <t>Saurav Goyal</t>
        </is>
      </c>
      <c r="C9" s="112" t="inlineStr">
        <is>
          <t>Swiggy</t>
        </is>
      </c>
      <c r="D9" s="112" t="inlineStr">
        <is>
          <t>Association</t>
        </is>
      </c>
      <c r="E9" s="112" t="inlineStr">
        <is>
          <t>A</t>
        </is>
      </c>
      <c r="F9" s="112" t="inlineStr">
        <is>
          <t>Contacted</t>
        </is>
      </c>
      <c r="G9" s="112" t="inlineStr">
        <is>
          <t>2026-05-02</t>
        </is>
      </c>
      <c r="H9" s="185" t="inlineStr">
        <is>
          <t>Follow-up 1 if no reply</t>
        </is>
      </c>
      <c r="I9" s="185" t="inlineStr">
        <is>
          <t>2026-05-04</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Follow up on the sent outreach and ask where decision hesitation is still blocking user conversion or trust monetization.</t>
        </is>
      </c>
      <c r="I10" s="185" t="inlineStr">
        <is>
          <t>2026-05-04</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 up on the sent outreach and ask where decision hesitation is still blocking user conversion or trust monetization.</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Manoj Chakraborty</t>
        </is>
      </c>
      <c r="C69" s="188" t="inlineStr">
        <is>
          <t>Bhopal Branch of CIRC of ICAI</t>
        </is>
      </c>
      <c r="D69" s="188" t="inlineStr">
        <is>
          <t>CA</t>
        </is>
      </c>
      <c r="E69" s="188" t="inlineStr">
        <is>
          <t>A</t>
        </is>
      </c>
      <c r="F69" s="188" t="inlineStr">
        <is>
          <t>New</t>
        </is>
      </c>
      <c r="G69" s="188" t="inlineStr"/>
      <c r="H69" s="188" t="inlineStr">
        <is>
          <t>Send branch inbox opener after named office-bearer emails: ask who owns member programming around repeated client investment decisions that looked informed but were not validated.</t>
        </is>
      </c>
      <c r="I69" s="188" t="inlineStr">
        <is>
          <t>2026-05-02</t>
        </is>
      </c>
      <c r="J69" s="188" t="inlineStr">
        <is>
          <t>Active</t>
        </is>
      </c>
      <c r="K69" s="188" t="inlineStr">
        <is>
          <t>Channel: bhopal@icai.org | Branch phone 07554908462 | Contact: Manoj Chakraborty | Bhopal Branch staff contact | 9131475919 | Source: Contact CA Associations | Decision_Gap: Branch teams can route the problem quickly if the ask is about preventing poor client decisions before action, not running another awareness program. | Verified public CIRC Bhopal Office Bearer PDF 2025-2026; use only after Arpit/Abhishek direct touches or as CC route.</t>
        </is>
      </c>
    </row>
    <row r="70">
      <c r="A70" s="188" t="inlineStr">
        <is>
          <t>SCR-CA-002</t>
        </is>
      </c>
      <c r="B70" s="188" t="inlineStr">
        <is>
          <t>Arpit Rai</t>
        </is>
      </c>
      <c r="C70" s="188" t="inlineStr"/>
      <c r="D70" s="188" t="inlineStr">
        <is>
          <t>CA</t>
        </is>
      </c>
      <c r="E70" s="188" t="inlineStr">
        <is>
          <t>A</t>
        </is>
      </c>
      <c r="F70" s="188" t="inlineStr">
        <is>
          <t>Contacted</t>
        </is>
      </c>
      <c r="G70" s="188" t="inlineStr">
        <is>
          <t>2026-05-02</t>
        </is>
      </c>
      <c r="H70" s="188" t="inlineStr">
        <is>
          <t>Follow-up 1 if no reply</t>
        </is>
      </c>
      <c r="I70" s="188" t="inlineStr">
        <is>
          <t>2026-05-04</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 | [2026-05-02] Email sent via Zoho | to=arpit.rai07@gmail.com | message_id=1777722602106010900</t>
        </is>
      </c>
    </row>
    <row r="71">
      <c r="A71" s="188" t="inlineStr">
        <is>
          <t>SCR-CA-003</t>
        </is>
      </c>
      <c r="B71" s="188" t="inlineStr">
        <is>
          <t>Abhishek Jain</t>
        </is>
      </c>
      <c r="C71" s="188" t="inlineStr"/>
      <c r="D71" s="188" t="inlineStr">
        <is>
          <t>CA</t>
        </is>
      </c>
      <c r="E71" s="188" t="inlineStr">
        <is>
          <t>A</t>
        </is>
      </c>
      <c r="F71" s="188" t="inlineStr">
        <is>
          <t>Contacted</t>
        </is>
      </c>
      <c r="G71" s="188" t="inlineStr">
        <is>
          <t>2026-05-02</t>
        </is>
      </c>
      <c r="H71" s="188" t="inlineStr">
        <is>
          <t>Follow-up 1 if no reply</t>
        </is>
      </c>
      <c r="I71" s="188" t="inlineStr">
        <is>
          <t>2026-05-04</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 | [2026-05-02] Email sent via Zoho | to=caabhishek108@gmail.com | message_id=1777722598296002100</t>
        </is>
      </c>
    </row>
    <row r="72">
      <c r="A72" s="188" t="inlineStr">
        <is>
          <t>SCR-CA-004</t>
        </is>
      </c>
      <c r="B72" s="188" t="inlineStr">
        <is>
          <t>Suresh Tiwari</t>
        </is>
      </c>
      <c r="C72" s="188" t="inlineStr">
        <is>
          <t>Indore Branch of CIRC of ICAI</t>
        </is>
      </c>
      <c r="D72" s="188" t="inlineStr">
        <is>
          <t>CA</t>
        </is>
      </c>
      <c r="E72" s="188" t="inlineStr">
        <is>
          <t>A</t>
        </is>
      </c>
      <c r="F72" s="188" t="inlineStr">
        <is>
          <t>New</t>
        </is>
      </c>
      <c r="G72" s="188" t="inlineStr"/>
      <c r="H72" s="188" t="inlineStr">
        <is>
          <t>Send branch-level backup note after Rajat/Milind touches; ask who handles member sessions on decision quality and client money behavior.</t>
        </is>
      </c>
      <c r="I72" s="188" t="inlineStr">
        <is>
          <t>2026-05-02</t>
        </is>
      </c>
      <c r="J72" s="188" t="inlineStr">
        <is>
          <t>Active</t>
        </is>
      </c>
      <c r="K72" s="188" t="inlineStr">
        <is>
          <t>Channel: indore@icai.in | Branch phones 0731-4298198, 2570052-53 | Contact: Suresh Tiwari | Indore Branch staff contact | 9303813511 | Source: Contact CA Associations | Decision_Gap: Large branch distribution matters only if the first message makes the validation gap obvious before a program is proposed. | Verified public CIRC Indore Office Bearer PDF 2025-2026.</t>
        </is>
      </c>
    </row>
    <row r="73">
      <c r="A73" s="188" t="inlineStr">
        <is>
          <t>SCR-CA-005</t>
        </is>
      </c>
      <c r="B73" s="188" t="inlineStr">
        <is>
          <t>Rajat Dhanuka</t>
        </is>
      </c>
      <c r="C73" s="188" t="inlineStr"/>
      <c r="D73" s="188" t="inlineStr">
        <is>
          <t>CA</t>
        </is>
      </c>
      <c r="E73" s="188" t="inlineStr">
        <is>
          <t>A</t>
        </is>
      </c>
      <c r="F73" s="188" t="inlineStr">
        <is>
          <t>Contacted</t>
        </is>
      </c>
      <c r="G73" s="188" t="inlineStr">
        <is>
          <t>2026-05-02</t>
        </is>
      </c>
      <c r="H73" s="188" t="inlineStr">
        <is>
          <t>Follow-up 1 if no reply</t>
        </is>
      </c>
      <c r="I73" s="188" t="inlineStr">
        <is>
          <t>2026-05-04</t>
        </is>
      </c>
      <c r="J73" s="188" t="inlineStr">
        <is>
          <t>Active</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Contacted</t>
        </is>
      </c>
      <c r="G76" s="188" t="inlineStr">
        <is>
          <t>2026-05-02</t>
        </is>
      </c>
      <c r="H76" s="188" t="inlineStr">
        <is>
          <t>Follow-up 1 if no reply</t>
        </is>
      </c>
      <c r="I76" s="188" t="inlineStr">
        <is>
          <t>2026-05-04</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 | [2026-05-02] Email sent via Zoho | to=sandeepwadhwani14@gmail.com | message_id=1777722582694001200</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 an owner-level email tied to high-ticket electronics and customer purchase confidence; follow with one phone call after email touch.</t>
        </is>
      </c>
      <c r="I77" s="188" t="inlineStr">
        <is>
          <t>2026-05-02</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t>
        </is>
      </c>
    </row>
    <row r="78">
      <c r="A78" s="188" t="inlineStr">
        <is>
          <t>SCR-BO-003</t>
        </is>
      </c>
      <c r="B78" s="188" t="inlineStr">
        <is>
          <t>Sumit Lalwani</t>
        </is>
      </c>
      <c r="C78" s="188" t="inlineStr">
        <is>
          <t>Sumit Lalwani</t>
        </is>
      </c>
      <c r="D78" s="188" t="inlineStr">
        <is>
          <t>Business</t>
        </is>
      </c>
      <c r="E78" s="188" t="inlineStr">
        <is>
          <t>A</t>
        </is>
      </c>
      <c r="F78" s="188" t="inlineStr">
        <is>
          <t>Contacted</t>
        </is>
      </c>
      <c r="G78" s="188" t="inlineStr">
        <is>
          <t>2026-05-02</t>
        </is>
      </c>
      <c r="H78" s="188" t="inlineStr">
        <is>
          <t>Follow-up 1 if no reply</t>
        </is>
      </c>
      <c r="I78" s="188" t="inlineStr">
        <is>
          <t>2026-05-04</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 | [2026-05-02] Email sent via Zoho | to=sumitlalwani66@gmail.com | message_id=1777722578986013400</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Contacted</t>
        </is>
      </c>
      <c r="G81" s="188" t="inlineStr">
        <is>
          <t>2026-05-02</t>
        </is>
      </c>
      <c r="H81" s="188" t="inlineStr">
        <is>
          <t>Follow-up 1 if no reply</t>
        </is>
      </c>
      <c r="I81" s="188" t="inlineStr">
        <is>
          <t>2026-05-04</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 | [2026-05-02] Email sent via Zoho | to=ne@naharindia.com | message_id=1777722575054013400</t>
        </is>
      </c>
    </row>
    <row r="82">
      <c r="A82" s="190" t="inlineStr">
        <is>
          <t>SCR-CA-008</t>
        </is>
      </c>
      <c r="B82" s="190" t="inlineStr">
        <is>
          <t>Aditya P. Srivastava</t>
        </is>
      </c>
      <c r="C82" s="190" t="inlineStr"/>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c r="D83" s="190" t="inlineStr">
        <is>
          <t>CA</t>
        </is>
      </c>
      <c r="E83" s="190" t="inlineStr">
        <is>
          <t>A</t>
        </is>
      </c>
      <c r="F83" s="190" t="inlineStr">
        <is>
          <t>New</t>
        </is>
      </c>
      <c r="G83" s="190" t="inlineStr"/>
      <c r="H83" s="190" t="inlineStr">
        <is>
          <t>Send secretary outreach today; propose a practical member conversation around decisions that feel rational until the downside appears.</t>
        </is>
      </c>
      <c r="I83" s="190" t="inlineStr">
        <is>
          <t>2026-05-02</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the high-ticket retail opener today; use the above-15Cr GST signal to keep this in the first owner batch, then call if no reply.</t>
        </is>
      </c>
      <c r="I89" s="190" t="inlineStr">
        <is>
          <t>2026-05-02</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the electronics-owner opener today; call public number to confirm owner route and ask about recent stock/customer decisions that proved costly.</t>
        </is>
      </c>
      <c r="I90" s="190" t="inlineStr">
        <is>
          <t>2026-05-02</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c r="D96" s="190" t="inlineStr">
        <is>
          <t>CA</t>
        </is>
      </c>
      <c r="E96" s="190" t="inlineStr">
        <is>
          <t>B</t>
        </is>
      </c>
      <c r="F96" s="190" t="inlineStr">
        <is>
          <t>New</t>
        </is>
      </c>
      <c r="G96" s="190" t="inlineStr"/>
      <c r="H96" s="190" t="inlineStr">
        <is>
          <t>Use as Indore vice-chair support route after Rajat/Milind. Frame Fnomo as a member-useful way to surface client decision risk before capital is committed.</t>
        </is>
      </c>
      <c r="I96" s="190" t="inlineStr">
        <is>
          <t>2026-05-03</t>
        </is>
      </c>
      <c r="J96" s="190" t="inlineStr">
        <is>
          <t>Waiting</t>
        </is>
      </c>
      <c r="K96" s="190" t="inlineStr">
        <is>
          <t>Channel: SAMKIT.FCA@GMAIL.COM | Contact: CA Samkit Bhandari | Vice Chairman, Indore Branch of CIRC of ICAI | Mobile 9009770770 | Office 8120770770 | Source: Contact CA Associations | Decision_Gap: Vice-chair can sponsor a branch conversation if the first-wave message lands but needs another internal champion. | Public CIRC Indore Office Bearer PDF 2025-2026 lists role, office phone, mobile, and email. Support route only.</t>
        </is>
      </c>
    </row>
    <row r="97">
      <c r="A97" s="190" t="inlineStr">
        <is>
          <t>SCR-CA-017</t>
        </is>
      </c>
      <c r="B97" s="190" t="inlineStr">
        <is>
          <t>Lavish Tanted</t>
        </is>
      </c>
      <c r="C97" s="190" t="inlineStr"/>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Use as same-day industrial Tier A expansion after the current six owner sends are logged. Open on heavy fabrication, vendor commitments, and working-capital decisions that look operational until the downside appears.</t>
        </is>
      </c>
      <c r="I102" s="190" t="inlineStr">
        <is>
          <t>2026-05-02</t>
        </is>
      </c>
      <c r="J102" s="190" t="inlineStr">
        <is>
          <t>Active</t>
        </is>
      </c>
      <c r="K102" s="190" t="inlineStr">
        <is>
          <t>Channel: rajubke@bkenter.com | bkbhatia.bke@gmail.com | 0755-4261494, 4224932 | 9826357003, 9770185507, 9981507283 | Contact: Sh. B.K. Bhatia | Founder, B.K. Enterprises | Govindpura industrial manufacturer | Source: Identify Business Owners &gt;2Cr | Decision_Gap: Heavy fabrication owners make high-stakes supplier, machine-utilization, quality, and credit calls where confidence can outrun validation. | Official B.K. Enterprises site lists founder, 1983 establishment, heavy fabrication/manufacturing profile, emails, landlines, and mobiles. Promote to Tier A industrial owner route.</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Use as same-day Tier A expansion after first-wave sends. Send to S.K. Gulati/Saurabh Gulati with an industrial-decision opener around procurement, plant capacity, and vendor risk.</t>
        </is>
      </c>
      <c r="I103" s="190" t="inlineStr">
        <is>
          <t>2026-05-02</t>
        </is>
      </c>
      <c r="J103" s="190" t="inlineStr">
        <is>
          <t>Active</t>
        </is>
      </c>
      <c r="K103" s="190" t="inlineStr">
        <is>
          <t>Channel: managingdirector@skindustriesbhopal.com | saurabh@skindustriesbhopal.com | md@skindustriesbhopal.com | 0755-4271946, 2586567, 4261974 | 9303131877 | Contact: Mr. S.K. Gulati and Mr. Saurabh Gulati | Managing Directors | S.K. Industries, Govindpura | Source: Identify Business Owners &gt;2Cr | Decision_Gap: Industrial managing directors repeatedly commit to procurement, production, and buyer-credit decisions before the decision logic is independently stress-tested. | Official S.K. Industries contact page lists both managing directors, direct email routes, landlines, mobile, and industrial-area address. Tier A because named MD route is public and owner-led.</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Use as next Tier A industrial owner route after the active first-wave sends are logged. Send to J.B. Sangwan with a transformer-fabrication decision opener around capacity, vendor, and quality calls that look operational until capital is locked.</t>
        </is>
      </c>
      <c r="I119" s="190" t="inlineStr">
        <is>
          <t>2026-05-02</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Send CEO-level outreach after the active first-wave owner touches. Open on the last project, fabrication, or procurement decision that seemed well-scoped but later exposed unvalidated assumptions.</t>
        </is>
      </c>
      <c r="I120" s="190" t="inlineStr">
        <is>
          <t>2026-05-02</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Send owner/MD outreach after current Tier A sends. Use hose, pipe, defence, mining, and OEM supply decisions as the practical frame for validating judgment before purchase or production commitment.</t>
        </is>
      </c>
      <c r="I121" s="190" t="inlineStr">
        <is>
          <t>2026-05-02</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Send direct MD/CEO outreach today using the refreshed public emails. Open on the last control-panel, starter, or customer-spec decision that looked technical but later exposed an unvalidated business judgment.</t>
        </is>
      </c>
      <c r="I122" s="190" t="inlineStr">
        <is>
          <t>2026-05-02</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Contacted</t>
        </is>
      </c>
      <c r="G128" s="190" t="inlineStr">
        <is>
          <t>2026-05-02</t>
        </is>
      </c>
      <c r="H128" s="190" t="inlineStr">
        <is>
          <t>Follow-up 1 if no reply</t>
        </is>
      </c>
      <c r="I128" s="190" t="inlineStr">
        <is>
          <t>2026-05-04</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 | [2026-05-02] Email sent via Zoho | to=govind.agarwal@icai.in | message_id=1777722590263001200</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Contacted</t>
        </is>
      </c>
      <c r="G133" s="190" t="inlineStr">
        <is>
          <t>2026-05-02</t>
        </is>
      </c>
      <c r="H133" s="190" t="inlineStr">
        <is>
          <t>Follow-up 1 if no reply</t>
        </is>
      </c>
      <c r="I133" s="190" t="inlineStr">
        <is>
          <t>2026-05-04</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 | [2026-05-02] Email sent via Zoho | to=star.delta@rediffmail.com | message_id=1777722571164001200</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Send Vijay Bora an owner/CEO note after first-wave sends. Use power-plant fabrication, transformer-tank, and heavy sheet-metal decisions as the hook for validating judgment before accepting work or locking material.</t>
        </is>
      </c>
      <c r="I134" s="190" t="inlineStr">
        <is>
          <t>2026-05-02</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Send founder/CEO outreach after the current Tier A owner batch. Open on export, compliance, product, and distributor decisions where bad validation can be expensive even when data is available.</t>
        </is>
      </c>
      <c r="I135" s="190" t="inlineStr">
        <is>
          <t>2026-05-02</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Send promoter/CMD outreach after Star Delta/Bora/Hind Pharma if first-wave sends are logged. Use transformer-project, procurement, and customer-spec decisions where validation before commitment prevents downstream loss.</t>
        </is>
      </c>
      <c r="I136" s="190" t="inlineStr">
        <is>
          <t>2026-05-02</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t>
        </is>
      </c>
    </row>
    <row r="137">
      <c r="A137" s="190" t="inlineStr">
        <is>
          <t>SCR-CA-035</t>
        </is>
      </c>
      <c r="B137" s="190" t="inlineStr">
        <is>
          <t>Vikas Golchha</t>
        </is>
      </c>
      <c r="C137" s="190" t="inlineStr">
        <is>
          <t>Raipur Branch of CIRC of ICAI</t>
        </is>
      </c>
      <c r="D137" s="190" t="inlineStr">
        <is>
          <t>CA</t>
        </is>
      </c>
      <c r="E137" s="190" t="inlineStr">
        <is>
          <t>B</t>
        </is>
      </c>
      <c r="F137" s="190" t="inlineStr">
        <is>
          <t>New</t>
        </is>
      </c>
      <c r="G137" s="190" t="inlineStr"/>
      <c r="H137" s="190" t="inlineStr">
        <is>
          <t>Queue after Bhopal/Indore chair-secretary touches and the CIRC routing note. Send chairman/secretary version only if first-wave CA messages are logged or need a larger CIRC proof point.</t>
        </is>
      </c>
      <c r="I137" s="190" t="inlineStr">
        <is>
          <t>2026-05-03</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t>
        </is>
      </c>
    </row>
    <row r="138">
      <c r="A138" s="190" t="inlineStr">
        <is>
          <t>SCR-CA-036</t>
        </is>
      </c>
      <c r="B138" s="190" t="inlineStr">
        <is>
          <t>Vikas Yadav</t>
        </is>
      </c>
      <c r="C138" s="190" t="inlineStr">
        <is>
          <t>Jaipur Branch of CIRC of ICAI</t>
        </is>
      </c>
      <c r="D138" s="190" t="inlineStr">
        <is>
          <t>CA</t>
        </is>
      </c>
      <c r="E138" s="190" t="inlineStr">
        <is>
          <t>B</t>
        </is>
      </c>
      <c r="F138" s="190" t="inlineStr">
        <is>
          <t>New</t>
        </is>
      </c>
      <c r="G138" s="190" t="inlineStr"/>
      <c r="H138" s="190" t="inlineStr">
        <is>
          <t>Queue as larger-branch expansion after first MP branch touches. Use chair/secretary route and ask who owns member programming for decision-quality/client-money behavior.</t>
        </is>
      </c>
      <c r="I138" s="190" t="inlineStr">
        <is>
          <t>2026-05-03</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t>
        </is>
      </c>
    </row>
    <row r="139">
      <c r="A139" s="190" t="inlineStr">
        <is>
          <t>SCR-BO-035</t>
        </is>
      </c>
      <c r="B139" s="190" t="inlineStr">
        <is>
          <t>Vinod Sapre</t>
        </is>
      </c>
      <c r="C139" s="190" t="inlineStr">
        <is>
          <t>Righill Electrics Pvt. Ltd.</t>
        </is>
      </c>
      <c r="D139" s="190" t="inlineStr">
        <is>
          <t>Business</t>
        </is>
      </c>
      <c r="E139" s="190" t="inlineStr">
        <is>
          <t>A</t>
        </is>
      </c>
      <c r="F139" s="190" t="inlineStr">
        <is>
          <t>Contacted</t>
        </is>
      </c>
      <c r="G139" s="190" t="inlineStr">
        <is>
          <t>2026-05-02</t>
        </is>
      </c>
      <c r="H139" s="190" t="inlineStr">
        <is>
          <t>Follow-up 1 if no reply</t>
        </is>
      </c>
      <c r="I139" s="190" t="inlineStr">
        <is>
          <t>2026-05-04</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 | [2026-05-02] Email sent via Zoho | to=righillelectrics@righill.com | message_id=1777722567435002100</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Contacted</t>
        </is>
      </c>
      <c r="G148" s="190" t="inlineStr">
        <is>
          <t>2026-05-02</t>
        </is>
      </c>
      <c r="H148" s="190" t="inlineStr">
        <is>
          <t>Follow-up 1 if no reply</t>
        </is>
      </c>
      <c r="I148" s="190" t="inlineStr">
        <is>
          <t>2026-05-04</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 | [2026-05-02] Email sent via Zoho | to=sales@kumaranindustries.com | message_id=1777722563323001200</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Call-first after current Tier A owner sends; use email only as a supporting route. Ask about the last steel procurement, working-capital, or customer-credit decision that looked necessary but should have been stress-tested before commitment.</t>
        </is>
      </c>
      <c r="I149" s="190" t="inlineStr">
        <is>
          <t>2026-05-02</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t>
        </is>
      </c>
    </row>
    <row r="150">
      <c r="A150" s="190" t="inlineStr">
        <is>
          <t>SCR-CA-040</t>
        </is>
      </c>
      <c r="B150" s="190" t="inlineStr">
        <is>
          <t>Anurag Pandey</t>
        </is>
      </c>
      <c r="C150" s="190" t="inlineStr">
        <is>
          <t>Lucknow Branch of CIRC of ICAI</t>
        </is>
      </c>
      <c r="D150" s="190" t="inlineStr">
        <is>
          <t>CA</t>
        </is>
      </c>
      <c r="E150" s="190" t="inlineStr">
        <is>
          <t>B</t>
        </is>
      </c>
      <c r="F150" s="190" t="inlineStr">
        <is>
          <t>New</t>
        </is>
      </c>
      <c r="G150" s="190" t="inlineStr"/>
      <c r="H150" s="190" t="inlineStr">
        <is>
          <t>Queue as large-branch expansion after Bhopal/Indore/CIRC first-wave touches are logged. Use Anurag Pandey and Rishabh Mishra first; ask who owns member programming around client decisions that looked informed but were not validated.</t>
        </is>
      </c>
      <c r="I150" s="190" t="inlineStr">
        <is>
          <t>2026-05-03</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t>
        </is>
      </c>
    </row>
    <row r="151" s="80">
      <c r="A151" s="190" t="inlineStr">
        <is>
          <t>SCR-CA-041</t>
        </is>
      </c>
      <c r="B151" s="190" t="inlineStr">
        <is>
          <t>Niraj Kumar Singh</t>
        </is>
      </c>
      <c r="C151" s="190" t="inlineStr">
        <is>
          <t>Varanasi Branch of CIRC of ICAI</t>
        </is>
      </c>
      <c r="D151" s="190" t="inlineStr">
        <is>
          <t>CA</t>
        </is>
      </c>
      <c r="E151" s="190" t="inlineStr">
        <is>
          <t>B</t>
        </is>
      </c>
      <c r="F151" s="190" t="inlineStr">
        <is>
          <t>New</t>
        </is>
      </c>
      <c r="G151" s="190" t="inlineStr"/>
      <c r="H151" s="190" t="inlineStr">
        <is>
          <t>Queue as second large-branch test after Bhopal/Indore and one regional route are logged. Use chairman + secretary route and keep the ask to one practical member conversation on decision validation before client money moves.</t>
        </is>
      </c>
      <c r="I151" s="190" t="inlineStr">
        <is>
          <t>2026-05-03</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Follow up on the sent outreach and reopen the decision-validation angle with one concrete question tied to their audience, members, or last decision bottleneck.</t>
        </is>
      </c>
      <c r="I201" s="190" t="inlineStr">
        <is>
          <t>2026-05-04</t>
        </is>
      </c>
      <c r="J201" s="190" t="inlineStr">
        <is>
          <t>Active</t>
        </is>
      </c>
      <c r="K201" s="190" t="inlineStr">
        <is>
          <t>Email: shanu.goel@icai.in | [2026-05-02] Zoho sent: A practical capability for ICAI member | status=success | Source: Sent folder 8585832000000002022</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Follow up on the sent outreach and reopen the decision-validation angle with one concrete question tied to their audience, members, or last decision bottleneck.</t>
        </is>
      </c>
      <c r="I202" s="190" t="inlineStr">
        <is>
          <t>2026-05-04</t>
        </is>
      </c>
      <c r="J202" s="190" t="inlineStr">
        <is>
          <t>Active</t>
        </is>
      </c>
      <c r="K202" s="190" t="inlineStr">
        <is>
          <t>Email: abhishek@dandaca.com | [2026-05-02] Zoho sent: Before your clients invest — one gap | status=success | Source: Sent folder 8585832000000002022</t>
        </is>
      </c>
    </row>
    <row r="203">
      <c r="A203" s="190" t="inlineStr">
        <is>
          <t>SCR-EM-003</t>
        </is>
      </c>
      <c r="B203" s="190" t="inlineStr">
        <is>
          <t>Pratyush Nishantkar</t>
        </is>
      </c>
      <c r="C203" s="190" t="inlineStr">
        <is>
          <t>Collegedunia</t>
        </is>
      </c>
      <c r="D203" s="190" t="inlineStr">
        <is>
          <t>Association</t>
        </is>
      </c>
      <c r="E203" s="190" t="inlineStr">
        <is>
          <t>B</t>
        </is>
      </c>
      <c r="F203" s="190" t="inlineStr">
        <is>
          <t>Contacted</t>
        </is>
      </c>
      <c r="G203" s="190" t="inlineStr">
        <is>
          <t>2026-05-02</t>
        </is>
      </c>
      <c r="H203" s="190" t="inlineStr">
        <is>
          <t>Follow up on the sent outreach and reopen the decision-validation angle with one concrete question tied to their audience, members, or last decision bottleneck.</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 up on the sent outreach and reopen the decision-validation angle with one concrete question tied to their audience, members, or last decision bottleneck.</t>
        </is>
      </c>
      <c r="I204" s="190" t="inlineStr">
        <is>
          <t>2026-05-04</t>
        </is>
      </c>
      <c r="J204" s="190" t="inlineStr">
        <is>
          <t>Active</t>
        </is>
      </c>
      <c r="K204" s="190" t="inlineStr">
        <is>
          <t>Email: dushyant.chaturvedi@internshala.com | [2026-05-02] Zoho sent: After Internshala, what next? | status=success | Source: Sent folder 8585832000000002022</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 up on the sent outreach and reopen the decision-validation angle with one concrete question tied to their audience, members, or last decision bottleneck.</t>
        </is>
      </c>
      <c r="I205" s="190" t="inlineStr">
        <is>
          <t>2026-05-04</t>
        </is>
      </c>
      <c r="J205" s="190" t="inlineStr">
        <is>
          <t>Active</t>
        </is>
      </c>
      <c r="K205" s="190" t="inlineStr">
        <is>
          <t>Email: abuzar.jamal@collegedunia.com | [2026-05-02] Zoho sent: Extending revenue beyond college decisions | status=success | Source: Sent folder 8585832000000002022</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 up on the sent outreach and reopen the decision-validation angle with one concrete question tied to their audience, members, or last decision bottleneck.</t>
        </is>
      </c>
      <c r="I206" s="190" t="inlineStr">
        <is>
          <t>2026-05-04</t>
        </is>
      </c>
      <c r="J206" s="190" t="inlineStr">
        <is>
          <t>Active</t>
        </is>
      </c>
      <c r="K206" s="190" t="inlineStr">
        <is>
          <t>Email: praful.bele@collegedunia.com | [2026-05-02] Zoho sent: A revenue layer on top of your existing user base | status=success | Source: Sent folder 8585832000000002022</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 up on the sent outreach and reopen the decision-validation angle with one concrete question tied to their audience, members, or last decision bottleneck.</t>
        </is>
      </c>
      <c r="I207" s="190" t="inlineStr">
        <is>
          <t>2026-05-04</t>
        </is>
      </c>
      <c r="J207" s="190" t="inlineStr">
        <is>
          <t>Active</t>
        </is>
      </c>
      <c r="K207" s="190" t="inlineStr">
        <is>
          <t>Email: romeo.ghosh@nobroker.in | [2026-05-02] Zoho sent: Where your users hesitate before acting | status=success | Source: Sent folder 8585832000000002022</t>
        </is>
      </c>
    </row>
    <row r="208">
      <c r="A208" s="190" t="inlineStr">
        <is>
          <t>SCR-EM-008</t>
        </is>
      </c>
      <c r="B208" s="190" t="inlineStr">
        <is>
          <t>Kopal</t>
        </is>
      </c>
      <c r="C208" s="190" t="inlineStr">
        <is>
          <t>Internshala</t>
        </is>
      </c>
      <c r="D208" s="190" t="inlineStr">
        <is>
          <t>Association</t>
        </is>
      </c>
      <c r="E208" s="190" t="inlineStr">
        <is>
          <t>B</t>
        </is>
      </c>
      <c r="F208" s="190" t="inlineStr">
        <is>
          <t>Contacted</t>
        </is>
      </c>
      <c r="G208" s="190" t="inlineStr">
        <is>
          <t>2026-05-02</t>
        </is>
      </c>
      <c r="H208" s="190" t="inlineStr">
        <is>
          <t>Follow up on the sent outreach and reopen the decision-validation angle with one concrete question tied to their audience, members, or last decision bottleneck.</t>
        </is>
      </c>
      <c r="I208" s="190" t="inlineStr">
        <is>
          <t>2026-05-04</t>
        </is>
      </c>
      <c r="J208" s="190" t="inlineStr">
        <is>
          <t>Active</t>
        </is>
      </c>
      <c r="K208" s="190" t="inlineStr">
        <is>
          <t>Email: kopal@internshala.com | [2026-05-02] Zoho sent: When learning turns into real decisions | status=success | Source: Sent folder 8585832000000002022</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 up on the sent outreach and reopen the decision-validation angle with one concrete question tied to their audience, members, or last decision bottleneck.</t>
        </is>
      </c>
      <c r="I209" s="190" t="inlineStr">
        <is>
          <t>2026-05-04</t>
        </is>
      </c>
      <c r="J209" s="190" t="inlineStr">
        <is>
          <t>Active</t>
        </is>
      </c>
      <c r="K209" s="190" t="inlineStr">
        <is>
          <t>Email: bhargav.yellapragada@zomato.com | [2026-05-02] Zoho sent: A missing layer in high-intent transactions | status=success | Source: Sent folder 8585832000000002022</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Follow up on the sent outreach and reopen the decision-validation angle with one concrete question tied to their audience, members, or last decision bottleneck.</t>
        </is>
      </c>
      <c r="I210" s="190" t="inlineStr">
        <is>
          <t>2026-05-04</t>
        </is>
      </c>
      <c r="J210" s="190" t="inlineStr">
        <is>
          <t>Active</t>
        </is>
      </c>
      <c r="K210" s="190" t="inlineStr">
        <is>
          <t>Email: shilpi.srivastav@swiggy.in | [2026-05-02] Zoho sent: Where fast decisions reduce long-term value, Blinkit revenue sharing partnership proposal | status=hasretry | Source: Sent folder 8585832000000002022</t>
        </is>
      </c>
    </row>
    <row r="211">
      <c r="A211" s="190" t="inlineStr">
        <is>
          <t>SCR-EM-011</t>
        </is>
      </c>
      <c r="B211" s="190" t="inlineStr">
        <is>
          <t>Suhas Mishra</t>
        </is>
      </c>
      <c r="C211" s="190" t="inlineStr">
        <is>
          <t>Housing.com</t>
        </is>
      </c>
      <c r="D211" s="190" t="inlineStr">
        <is>
          <t>Association</t>
        </is>
      </c>
      <c r="E211" s="190" t="inlineStr">
        <is>
          <t>B</t>
        </is>
      </c>
      <c r="F211" s="190" t="inlineStr">
        <is>
          <t>Contacted</t>
        </is>
      </c>
      <c r="G211" s="190" t="inlineStr">
        <is>
          <t>2026-05-02</t>
        </is>
      </c>
      <c r="H211" s="190" t="inlineStr">
        <is>
          <t>Follow up on the sent outreach and reopen the decision-validation angle with one concrete question tied to their audience, members, or last decision bottleneck.</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 up on the sent outreach and reopen the decision-validation angle with one concrete question tied to their audience, members, or last decision bottleneck.</t>
        </is>
      </c>
      <c r="I212" s="190" t="inlineStr">
        <is>
          <t>2026-05-03</t>
        </is>
      </c>
      <c r="J212" s="190" t="inlineStr">
        <is>
          <t>Active</t>
        </is>
      </c>
      <c r="K212" s="190" t="inlineStr">
        <is>
          <t>Email: nikita.patankar@nobroker.in | [2026-05-01] Zoho sent: Extending decision-making beyond property discovery | status=success | Source: Sent folder 8585832000000002022</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row r="215">
      <c r="A215" s="190" t="inlineStr">
        <is>
          <t>SCR-BO-043</t>
        </is>
      </c>
      <c r="B215" s="190" t="inlineStr">
        <is>
          <t>Poonam Chouksey</t>
        </is>
      </c>
      <c r="C215" s="190" t="inlineStr">
        <is>
          <t>Parvati Sweetners and Power Limited</t>
        </is>
      </c>
      <c r="D215" s="190" t="inlineStr">
        <is>
          <t>Business</t>
        </is>
      </c>
      <c r="E215" s="190" t="inlineStr">
        <is>
          <t>A</t>
        </is>
      </c>
      <c r="F215" s="190" t="inlineStr">
        <is>
          <t>New</t>
        </is>
      </c>
      <c r="G215" s="190" t="n"/>
      <c r="H215" s="190" t="inlineStr">
        <is>
          <t>Send Poonam Chouksey a listed-manufacturer MD note after the current owner sends are logged; ask about the last commodity, capex, or working-capital decision that looked right before downside appeared.</t>
        </is>
      </c>
      <c r="I215" s="190" t="inlineStr">
        <is>
          <t>2026-05-03</t>
        </is>
      </c>
      <c r="J215" s="190" t="inlineStr">
        <is>
          <t>Active</t>
        </is>
      </c>
      <c r="K215" s="190" t="inlineStr">
        <is>
          <t>Channel: info@parvatisweetners.com; info@parvatisweetners.co.in | Phone 0755-4009254 | Contact: Poonam Chouksey | Chairperson &amp; Managing Director / CEO; Anupam Chouksey | Executive Director; Shweta Chouksey | CFO; Khadija Husain | Company Secretary | Source: Official Parvati corporate information, Moneycontrol management profile, and StockAnalysis company profile. | Decision_Gap: Sugar/bioethanol businesses carry procurement, commodity, capex, and cash-cycle decisions where confidence can outrun validation before money moves. | Tier A because listed manufacturing scale, public MD/CEO route, and material capital decisions are explicit. Use after today's Tier A owner sends are logged.</t>
        </is>
      </c>
    </row>
    <row r="216">
      <c r="A216" s="190" t="inlineStr">
        <is>
          <t>SCR-BO-044</t>
        </is>
      </c>
      <c r="B216" s="190" t="inlineStr">
        <is>
          <t>C. E. Fernandes</t>
        </is>
      </c>
      <c r="C216" s="190" t="inlineStr">
        <is>
          <t>GEI Industrial Systems Limited</t>
        </is>
      </c>
      <c r="D216" s="190" t="inlineStr">
        <is>
          <t>Business</t>
        </is>
      </c>
      <c r="E216" s="190" t="inlineStr">
        <is>
          <t>A</t>
        </is>
      </c>
      <c r="F216" s="190" t="inlineStr">
        <is>
          <t>New</t>
        </is>
      </c>
      <c r="G216" s="190" t="n"/>
      <c r="H216" s="190" t="inlineStr">
        <is>
          <t>Send C.E. Fernandes an industrial-founder note after logged owner sends; anchor on bid, vendor, project, and capex decisions that need validation before commitment.</t>
        </is>
      </c>
      <c r="I216" s="190" t="inlineStr">
        <is>
          <t>2026-05-03</t>
        </is>
      </c>
      <c r="J216" s="190" t="inlineStr">
        <is>
          <t>Active</t>
        </is>
      </c>
      <c r="K216" s="190" t="inlineStr">
        <is>
          <t>Channel: pscmd@geiind.com; cs@geiind.com; cmdgei@yahoo.co.in | Phones +91-7554922011, +91-7554926350, +91-7554923011; registered-office 0755-2586691 | Contact: C E Fernandes | Chairman &amp; Managing Director; Bernard John | Joint Managing Director route | Source: Official GEI site, Moneycontrol management/contact profile, and GIA Govindpura listing. | Decision_Gap: Engineering/project businesses make expensive bid, capacity, vendor, and project-risk calls where a pre-action validation layer is commercially legible. | Tier A because public listed/industrial profile and leadership route are explicit.</t>
        </is>
      </c>
    </row>
    <row r="217">
      <c r="A217" s="190" t="inlineStr">
        <is>
          <t>SCR-BO-045</t>
        </is>
      </c>
      <c r="B217" s="190" t="inlineStr">
        <is>
          <t>Jaspal Singh</t>
        </is>
      </c>
      <c r="C217" s="190" t="inlineStr">
        <is>
          <t>C.J. Gelatine Products Limited</t>
        </is>
      </c>
      <c r="D217" s="190" t="inlineStr">
        <is>
          <t>Business</t>
        </is>
      </c>
      <c r="E217" s="190" t="inlineStr">
        <is>
          <t>A</t>
        </is>
      </c>
      <c r="F217" s="190" t="inlineStr">
        <is>
          <t>New</t>
        </is>
      </c>
      <c r="G217" s="190" t="n"/>
      <c r="H217" s="190" t="inlineStr">
        <is>
          <t>Send Jaspal Singh a chair/MD note after the current Tier A sends are logged; frame around procurement, plant-utilization, export, and quality decisions where a wrong call is expensive before it is visible.</t>
        </is>
      </c>
      <c r="I217" s="190" t="inlineStr">
        <is>
          <t>2026-05-03</t>
        </is>
      </c>
      <c r="J217" s="190" t="inlineStr">
        <is>
          <t>Active</t>
        </is>
      </c>
      <c r="K217" s="190" t="inlineStr">
        <is>
          <t>Channel: contact@cjgelatineproducts.com; cjsecretarial@gmail.com | Factory phone 91-7480-423301 | Company-secretary/investor phone 07480-423302 | Contact: Jaspal Singh | Chairman and Managing Director; Harman Singh | Executive Director / Company Secretary route | Source: Official C.J. Gelatine investor-relations page and public board profile. | Decision_Gap: Specialty manufacturing creates procurement, plant-utilization, quality, and market-timing decisions where judgment needs stress-testing before capital is committed. | Tier A because public listed manufacturer with named chair/MD and company-secretary routes.</t>
        </is>
      </c>
    </row>
    <row r="218">
      <c r="A218" s="190" t="inlineStr">
        <is>
          <t>SCR-BO-046</t>
        </is>
      </c>
      <c r="B218" s="190" t="inlineStr">
        <is>
          <t>Rakesh Agrawal</t>
        </is>
      </c>
      <c r="C218" s="190" t="inlineStr">
        <is>
          <t>Autosign Industries</t>
        </is>
      </c>
      <c r="D218" s="190" t="inlineStr">
        <is>
          <t>Business</t>
        </is>
      </c>
      <c r="E218" s="190" t="inlineStr">
        <is>
          <t>B</t>
        </is>
      </c>
      <c r="F218" s="190" t="inlineStr">
        <is>
          <t>New</t>
        </is>
      </c>
      <c r="G218" s="190" t="n"/>
      <c r="H218" s="190" t="inlineStr">
        <is>
          <t>Keep as queued direct-owner route; call Rakesh Agrawal only after Tier A listed/industrial sends are logged. Verify scale/fit, then ask about the last tender or project commitment that should have been stress-tested earlier.</t>
        </is>
      </c>
      <c r="I218" s="190" t="inlineStr">
        <is>
          <t>2026-05-04</t>
        </is>
      </c>
      <c r="J218" s="190" t="inlineStr">
        <is>
          <t>Waiting</t>
        </is>
      </c>
      <c r="K218" s="190" t="inlineStr">
        <is>
          <t>Channel: rakesh@autosignindustries.com; kamal@autosignindustries.com; info@autosignindustries.com | Office 0755-4243311 | Rakesh mobile +91-8602252541 | Kamal mobile +91-9425043311 | Contact: Rakesh Agrawal | Managing Director; Kamal Kishor Agrawal | Chairman | Source: Official Autosign contact page. | Decision_Gap: Road-safety and industrial supply decisions involve tenders, inventory, and project timing where owner confidence can outrun validation. | Tier B until revenue/intent is confirmed; do not add to first-wave owner send.</t>
        </is>
      </c>
    </row>
    <row r="219">
      <c r="A219" s="190" t="inlineStr">
        <is>
          <t>SCR-BO-047</t>
        </is>
      </c>
      <c r="B219" s="190" t="inlineStr">
        <is>
          <t>Govind Singh Dangi</t>
        </is>
      </c>
      <c r="C219" s="190" t="inlineStr">
        <is>
          <t>Farmila Ventures Private Limited</t>
        </is>
      </c>
      <c r="D219" s="190" t="inlineStr">
        <is>
          <t>Business</t>
        </is>
      </c>
      <c r="E219" s="190" t="inlineStr">
        <is>
          <t>B</t>
        </is>
      </c>
      <c r="F219" s="190" t="inlineStr">
        <is>
          <t>New</t>
        </is>
      </c>
      <c r="G219" s="190" t="n"/>
      <c r="H219" s="190" t="inlineStr">
        <is>
          <t>Queue as agri-machinery owner route; verify scale and active owner availability by phone before promotion, then open on dealer-credit, farmer-equipment, and service-capacity decisions.</t>
        </is>
      </c>
      <c r="I219" s="190" t="inlineStr">
        <is>
          <t>2026-05-04</t>
        </is>
      </c>
      <c r="J219" s="190" t="inlineStr">
        <is>
          <t>Waiting</t>
        </is>
      </c>
      <c r="K219" s="190" t="inlineStr">
        <is>
          <t>Channel: gsdangi@gmail.com; pushpendrasingh25@gmail.com; farmilaventures@gmail.com | Phones 9009990650, 9630055837 | Contact: Govind Singh Dangi | Managing Director / Director; Pushpendra Singh | Managing Director / Director | Source: Official Farmila managing-director page plus public company profiles confirming active director roles. | Decision_Gap: Agri-equipment businesses sit between dealer judgment and farmer capital decisions, making validation before purchase/action a practical angle. | Tier B pending scale validation; keep behind Tier A listed/industrial owner routes.</t>
        </is>
      </c>
    </row>
    <row r="220">
      <c r="A220" s="190" t="inlineStr">
        <is>
          <t>SCR-CA-042</t>
        </is>
      </c>
      <c r="B220" s="190" t="inlineStr">
        <is>
          <t>Abhay Chhajed</t>
        </is>
      </c>
      <c r="C220" s="190" t="inlineStr">
        <is>
          <t>CIRC / Bhopal Ex-Officio Route</t>
        </is>
      </c>
      <c r="D220" s="190" t="inlineStr">
        <is>
          <t>CA</t>
        </is>
      </c>
      <c r="E220" s="190" t="inlineStr">
        <is>
          <t>A</t>
        </is>
      </c>
      <c r="F220" s="190" t="inlineStr">
        <is>
          <t>New</t>
        </is>
      </c>
      <c r="G220" s="190" t="n"/>
      <c r="H220" s="190" t="inlineStr">
        <is>
          <t>Use as Bhopal ex-officio escalation after Arpit/Abhishek first follow-up is logged; ask whether branch/CIRC programming can own a member conversation on client decisions that looked informed but were never validated.</t>
        </is>
      </c>
      <c r="I220" s="190" t="inlineStr">
        <is>
          <t>2026-05-04</t>
        </is>
      </c>
      <c r="J220" s="190" t="inlineStr">
        <is>
          <t>Active</t>
        </is>
      </c>
      <c r="K220" s="190" t="inlineStr">
        <is>
          <t>Channel: chhajed_abhay@hotmail.com | Mobile 9009044477 | Contact: CA Abhay Kumar Chhajed | Central Council Member; Bhopal ex-officio route | Source: Current CIRC regional/central council page and CIRC ex-officio listing. | Decision_Gap: Bhopal ex-officio authority can unblock branch ownership if the ask stays on client decision-quality before capital moves, not generic awareness. | Tier A escalation because Bhopal route, direct public mobile/email, and Central Council role are explicit.</t>
        </is>
      </c>
    </row>
    <row r="221">
      <c r="A221" s="190" t="inlineStr">
        <is>
          <t>SCR-CA-043</t>
        </is>
      </c>
      <c r="B221" s="190" t="inlineStr">
        <is>
          <t>Anand Jain</t>
        </is>
      </c>
      <c r="C221" s="190" t="inlineStr">
        <is>
          <t>CIRC / Indore Regional Council Route</t>
        </is>
      </c>
      <c r="D221" s="190" t="inlineStr">
        <is>
          <t>CA</t>
        </is>
      </c>
      <c r="E221" s="190" t="inlineStr">
        <is>
          <t>B</t>
        </is>
      </c>
      <c r="F221" s="190" t="inlineStr">
        <is>
          <t>New</t>
        </is>
      </c>
      <c r="G221" s="190" t="n"/>
      <c r="H221" s="190" t="inlineStr">
        <is>
          <t>Hold as Indore regional support after Rajat/Milind touches and first follow-up are logged; ask who owns member programming for validating client decisions before money moves.</t>
        </is>
      </c>
      <c r="I221" s="190" t="inlineStr">
        <is>
          <t>2026-05-04</t>
        </is>
      </c>
      <c r="J221" s="190" t="inlineStr">
        <is>
          <t>Waiting</t>
        </is>
      </c>
      <c r="K221" s="190" t="inlineStr">
        <is>
          <t>Channel: anandjain812@gmail.com | Mobile 8818800095 | Contact: CA Anand Jain | Regional Council Member, Indore | Source: Current CIRC regional/central council page and Indore ICAI torch-bearers page. | Decision_Gap: Regional Indore support is useful if branch ownership stalls; the conversation must stay about decision validation as member value. | Tier B support route behind local chair/secretary execution.</t>
        </is>
      </c>
    </row>
    <row r="222">
      <c r="A222" s="190" t="inlineStr">
        <is>
          <t>SCR-CA-044</t>
        </is>
      </c>
      <c r="B222" s="190" t="inlineStr">
        <is>
          <t>Pankaj Shah</t>
        </is>
      </c>
      <c r="C222" s="190" t="inlineStr">
        <is>
          <t>CIRC / Indore Central Council Route</t>
        </is>
      </c>
      <c r="D222" s="190" t="inlineStr">
        <is>
          <t>CA</t>
        </is>
      </c>
      <c r="E222" s="190" t="inlineStr">
        <is>
          <t>B</t>
        </is>
      </c>
      <c r="F222" s="190" t="inlineStr">
        <is>
          <t>New</t>
        </is>
      </c>
      <c r="G222" s="190" t="n"/>
      <c r="H222" s="190" t="inlineStr">
        <is>
          <t>Hold as Central Council escalation behind Indore chair/secretary and Anand Jain; use only if local ownership stalls or a higher-authority routing note is needed.</t>
        </is>
      </c>
      <c r="I222" s="190" t="inlineStr">
        <is>
          <t>2026-05-04</t>
        </is>
      </c>
      <c r="J222" s="190" t="inlineStr">
        <is>
          <t>Waiting</t>
        </is>
      </c>
      <c r="K222" s="190" t="inlineStr">
        <is>
          <t>Channel: pankajgshah@gmail.com | Mobile 9691893040 | Contact: CA Pankaj Shah | Central Council Member, Indore | Source: Current CIRC regional/central council page and public ICAI committee profile. | Decision_Gap: Central Council route can validate regional relevance, but only after local branch contact proves the client-decision gap is concrete. | Tier B escalation route; do not bypass local trust sequence.</t>
        </is>
      </c>
    </row>
    <row r="223">
      <c r="A223" t="inlineStr">
        <is>
          <t>WA-CA-001</t>
        </is>
      </c>
      <c r="B223" t="inlineStr">
        <is>
          <t>Rajesh Jain</t>
        </is>
      </c>
      <c r="C223" t="inlineStr">
        <is>
          <t>Jain &amp; Associates</t>
        </is>
      </c>
      <c r="D223" t="inlineStr">
        <is>
          <t>CA</t>
        </is>
      </c>
      <c r="E223" t="inlineStr">
        <is>
          <t>A</t>
        </is>
      </c>
      <c r="F223" t="inlineStr">
        <is>
          <t>Contacted</t>
        </is>
      </c>
      <c r="G223" t="inlineStr">
        <is>
          <t>2026-05-02</t>
        </is>
      </c>
      <c r="H223" t="inlineStr">
        <is>
          <t>Follow-up 1 via WhatsApp if no reply</t>
        </is>
      </c>
      <c r="I223" t="inlineStr">
        <is>
          <t>2026-05-04</t>
        </is>
      </c>
      <c r="J223" t="inlineStr">
        <is>
          <t>Active</t>
        </is>
      </c>
      <c r="K223" t="inlineStr">
        <is>
          <t>Channel: WhatsApp 91-9820123456 | Email: rajesh.jain@jainassociates.in | Title: Chartered Accountant | City: Mumbai | Source: User screenshot WhatsApp batch | Decision_Gap: Lead has been touched through WhatsApp; next conversation must reconstruct last wrong financial or business decision before positioning Fnomo. | [2026-05-02] WhatsApp contacted via user screenshot batch</t>
        </is>
      </c>
    </row>
    <row r="224">
      <c r="A224" t="inlineStr">
        <is>
          <t>WA-CA-002</t>
        </is>
      </c>
      <c r="B224" t="inlineStr">
        <is>
          <t>Priya Mehta</t>
        </is>
      </c>
      <c r="C224" t="inlineStr">
        <is>
          <t>Mehta Tax Consultants</t>
        </is>
      </c>
      <c r="D224" t="inlineStr">
        <is>
          <t>CA</t>
        </is>
      </c>
      <c r="E224" t="inlineStr">
        <is>
          <t>A</t>
        </is>
      </c>
      <c r="F224" t="inlineStr">
        <is>
          <t>Contacted</t>
        </is>
      </c>
      <c r="G224" t="inlineStr">
        <is>
          <t>2026-05-02</t>
        </is>
      </c>
      <c r="H224" t="inlineStr">
        <is>
          <t>Follow-up 1 via WhatsApp if no reply</t>
        </is>
      </c>
      <c r="I224" t="inlineStr">
        <is>
          <t>2026-05-04</t>
        </is>
      </c>
      <c r="J224" t="inlineStr">
        <is>
          <t>Active</t>
        </is>
      </c>
      <c r="K224" t="inlineStr">
        <is>
          <t>Channel: WhatsApp 91-9810234567 | Email: priya.mehta@mehtatax.com | Title: Senior CA | City: Delhi | Source: User screenshot WhatsApp batch | Decision_Gap: Lead has been touched through WhatsApp; next conversation must reconstruct last wrong financial or business decision before positioning Fnomo. | [2026-05-02] WhatsApp contacted via user screenshot batch</t>
        </is>
      </c>
    </row>
    <row r="225">
      <c r="A225" t="inlineStr">
        <is>
          <t>WA-CA-003</t>
        </is>
      </c>
      <c r="B225" t="inlineStr">
        <is>
          <t>Suresh Kumar</t>
        </is>
      </c>
      <c r="C225" t="inlineStr">
        <is>
          <t>SKR Partners</t>
        </is>
      </c>
      <c r="D225" t="inlineStr">
        <is>
          <t>CA</t>
        </is>
      </c>
      <c r="E225" t="inlineStr">
        <is>
          <t>A</t>
        </is>
      </c>
      <c r="F225" t="inlineStr">
        <is>
          <t>Contacted</t>
        </is>
      </c>
      <c r="G225" t="inlineStr">
        <is>
          <t>2026-05-02</t>
        </is>
      </c>
      <c r="H225" t="inlineStr">
        <is>
          <t>Follow-up 1 via WhatsApp if no reply</t>
        </is>
      </c>
      <c r="I225" t="inlineStr">
        <is>
          <t>2026-05-04</t>
        </is>
      </c>
      <c r="J225" t="inlineStr">
        <is>
          <t>Active</t>
        </is>
      </c>
      <c r="K225" t="inlineStr">
        <is>
          <t>Channel: WhatsApp 91-9845678901 | Email: suresh@skrpartners.co.in | Title: Practicing CA | City: Bangalore | Source: User screenshot WhatsApp batch | Decision_Gap: Lead has been touched through WhatsApp; next conversation must reconstruct last wrong financial or business decision before positioning Fnomo. | [2026-05-02] WhatsApp contacted via user screenshot batch</t>
        </is>
      </c>
    </row>
    <row r="226">
      <c r="A226" t="inlineStr">
        <is>
          <t>WA-CA-004</t>
        </is>
      </c>
      <c r="B226" t="inlineStr">
        <is>
          <t>Ankita Shah</t>
        </is>
      </c>
      <c r="C226" t="inlineStr">
        <is>
          <t>Shah Financial Services</t>
        </is>
      </c>
      <c r="D226" t="inlineStr">
        <is>
          <t>CA</t>
        </is>
      </c>
      <c r="E226" t="inlineStr">
        <is>
          <t>A</t>
        </is>
      </c>
      <c r="F226" t="inlineStr">
        <is>
          <t>Contacted</t>
        </is>
      </c>
      <c r="G226" t="inlineStr">
        <is>
          <t>2026-05-02</t>
        </is>
      </c>
      <c r="H226" t="inlineStr">
        <is>
          <t>Follow-up 1 via WhatsApp if no reply</t>
        </is>
      </c>
      <c r="I226" t="inlineStr">
        <is>
          <t>2026-05-04</t>
        </is>
      </c>
      <c r="J226" t="inlineStr">
        <is>
          <t>Active</t>
        </is>
      </c>
      <c r="K226" t="inlineStr">
        <is>
          <t>Channel: WhatsApp 91-9824567890 | Email: ankita.shah@shahfinancial.in | Title: CA - FCA | City: Ahmedabad | Source: User screenshot WhatsApp batch | Decision_Gap: Lead has been touched through WhatsApp; next conversation must reconstruct last wrong financial or business decision before positioning Fnomo. | [2026-05-02] WhatsApp contacted via user screenshot batch</t>
        </is>
      </c>
    </row>
    <row r="227">
      <c r="A227" t="inlineStr">
        <is>
          <t>WA-CA-005</t>
        </is>
      </c>
      <c r="B227" t="inlineStr">
        <is>
          <t>Vivek Nair</t>
        </is>
      </c>
      <c r="C227" t="inlineStr">
        <is>
          <t>Nair &amp; Co. Chartered Accountants</t>
        </is>
      </c>
      <c r="D227" t="inlineStr">
        <is>
          <t>CA</t>
        </is>
      </c>
      <c r="E227" t="inlineStr">
        <is>
          <t>A</t>
        </is>
      </c>
      <c r="F227" t="inlineStr">
        <is>
          <t>Contacted</t>
        </is>
      </c>
      <c r="G227" t="inlineStr">
        <is>
          <t>2026-05-02</t>
        </is>
      </c>
      <c r="H227" t="inlineStr">
        <is>
          <t>Follow-up 1 via WhatsApp if no reply</t>
        </is>
      </c>
      <c r="I227" t="inlineStr">
        <is>
          <t>2026-05-04</t>
        </is>
      </c>
      <c r="J227" t="inlineStr">
        <is>
          <t>Active</t>
        </is>
      </c>
      <c r="K227" t="inlineStr">
        <is>
          <t>Channel: WhatsApp 91-9841234567 | Email: vivek@nairandco.in | Title: Senior Partner | City: Chennai | Source: User screenshot WhatsApp batch | Decision_Gap: Lead has been touched through WhatsApp; next conversation must reconstruct last wrong financial or business decision before positioning Fnomo. | [2026-05-02] WhatsApp contacted via user screenshot batch</t>
        </is>
      </c>
    </row>
    <row r="228">
      <c r="A228" t="inlineStr">
        <is>
          <t>WA-CA-006</t>
        </is>
      </c>
      <c r="B228" t="inlineStr">
        <is>
          <t>Deepa Verma</t>
        </is>
      </c>
      <c r="C228" t="inlineStr">
        <is>
          <t>Verma Tax Advisory</t>
        </is>
      </c>
      <c r="D228" t="inlineStr">
        <is>
          <t>CA</t>
        </is>
      </c>
      <c r="E228" t="inlineStr">
        <is>
          <t>A</t>
        </is>
      </c>
      <c r="F228" t="inlineStr">
        <is>
          <t>Contacted</t>
        </is>
      </c>
      <c r="G228" t="inlineStr">
        <is>
          <t>2026-05-02</t>
        </is>
      </c>
      <c r="H228" t="inlineStr">
        <is>
          <t>Follow-up 1 via WhatsApp if no reply</t>
        </is>
      </c>
      <c r="I228" t="inlineStr">
        <is>
          <t>2026-05-04</t>
        </is>
      </c>
      <c r="J228" t="inlineStr">
        <is>
          <t>Active</t>
        </is>
      </c>
      <c r="K228" t="inlineStr">
        <is>
          <t>Channel: WhatsApp 91-9823456789 | Email: deepa.verma@vermatax.in | Title: CA - DISA | City: Pune | Source: User screenshot WhatsApp batch | Decision_Gap: Lead has been touched through WhatsApp; next conversation must reconstruct last wrong financial or business decision before positioning Fnomo. | [2026-05-02] WhatsApp contacted via user screenshot batch</t>
        </is>
      </c>
    </row>
    <row r="229">
      <c r="A229" t="inlineStr">
        <is>
          <t>WA-CA-007</t>
        </is>
      </c>
      <c r="B229" t="inlineStr">
        <is>
          <t>Arun Gupta</t>
        </is>
      </c>
      <c r="C229" t="inlineStr">
        <is>
          <t>Gupta &amp; Associates</t>
        </is>
      </c>
      <c r="D229" t="inlineStr">
        <is>
          <t>Business</t>
        </is>
      </c>
      <c r="E229" t="inlineStr">
        <is>
          <t>B</t>
        </is>
      </c>
      <c r="F229" t="inlineStr">
        <is>
          <t>Contacted</t>
        </is>
      </c>
      <c r="G229" t="inlineStr">
        <is>
          <t>2026-05-02</t>
        </is>
      </c>
      <c r="H229" t="inlineStr">
        <is>
          <t>Follow-up 1 via WhatsApp if no reply</t>
        </is>
      </c>
      <c r="I229" t="inlineStr">
        <is>
          <t>2026-05-04</t>
        </is>
      </c>
      <c r="J229" t="inlineStr">
        <is>
          <t>Active</t>
        </is>
      </c>
      <c r="K229" t="inlineStr">
        <is>
          <t>Channel: WhatsApp 91-9848901234 | Email: arun.gupta@guptaassoc.in | Title: Managing Partner | City: Hyderabad | Source: User screenshot WhatsApp batch | Decision_Gap: Lead has been touched through WhatsApp; next conversation must reconstruct last wrong financial or business decision before positioning Fnomo. | [2026-05-02] WhatsApp contacted via user screenshot batch</t>
        </is>
      </c>
    </row>
    <row r="230">
      <c r="A230" t="inlineStr">
        <is>
          <t>WA-CA-008</t>
        </is>
      </c>
      <c r="B230" t="inlineStr">
        <is>
          <t>Meera Krishnan</t>
        </is>
      </c>
      <c r="C230" t="inlineStr">
        <is>
          <t>MK Financial Advisors</t>
        </is>
      </c>
      <c r="D230" t="inlineStr">
        <is>
          <t>CA</t>
        </is>
      </c>
      <c r="E230" t="inlineStr">
        <is>
          <t>A</t>
        </is>
      </c>
      <c r="F230" t="inlineStr">
        <is>
          <t>Contacted</t>
        </is>
      </c>
      <c r="G230" t="inlineStr">
        <is>
          <t>2026-05-02</t>
        </is>
      </c>
      <c r="H230" t="inlineStr">
        <is>
          <t>Follow-up 1 via WhatsApp if no reply</t>
        </is>
      </c>
      <c r="I230" t="inlineStr">
        <is>
          <t>2026-05-04</t>
        </is>
      </c>
      <c r="J230" t="inlineStr">
        <is>
          <t>Active</t>
        </is>
      </c>
      <c r="K230" t="inlineStr">
        <is>
          <t>Channel: WhatsApp 91-9846789012 | Email: meera@mkfinancial.in | Title: Chartered Accountant | City: Kochi | Source: User screenshot WhatsApp batch | Decision_Gap: Lead has been touched through WhatsApp; next conversation must reconstruct last wrong financial or business decision before positioning Fnomo. | [2026-05-02] WhatsApp contacted via user screenshot batch</t>
        </is>
      </c>
    </row>
    <row r="231">
      <c r="A231" t="inlineStr">
        <is>
          <t>WA-CA-009</t>
        </is>
      </c>
      <c r="B231" t="inlineStr">
        <is>
          <t>Ravi Shankar</t>
        </is>
      </c>
      <c r="C231" t="inlineStr">
        <is>
          <t>RS Chartered Accountants</t>
        </is>
      </c>
      <c r="D231" t="inlineStr">
        <is>
          <t>CA</t>
        </is>
      </c>
      <c r="E231" t="inlineStr">
        <is>
          <t>A</t>
        </is>
      </c>
      <c r="F231" t="inlineStr">
        <is>
          <t>Contacted</t>
        </is>
      </c>
      <c r="G231" t="inlineStr">
        <is>
          <t>2026-05-02</t>
        </is>
      </c>
      <c r="H231" t="inlineStr">
        <is>
          <t>Follow-up 1 via WhatsApp if no reply</t>
        </is>
      </c>
      <c r="I231" t="inlineStr">
        <is>
          <t>2026-05-04</t>
        </is>
      </c>
      <c r="J231" t="inlineStr">
        <is>
          <t>Active</t>
        </is>
      </c>
      <c r="K231" t="inlineStr">
        <is>
          <t>Channel: WhatsApp 91-9829012345 | Email: ravi.shankar@rscharteredCA.in | Title: CA Partner | City: Jaipur | Source: User screenshot WhatsApp batch | Decision_Gap: Lead has been touched through WhatsApp; next conversation must reconstruct last wrong financial or business decision before positioning Fnomo. | [2026-05-02] WhatsApp contacted via user screenshot batch</t>
        </is>
      </c>
    </row>
    <row r="232">
      <c r="A232" t="inlineStr">
        <is>
          <t>WA-CA-010</t>
        </is>
      </c>
      <c r="B232" t="inlineStr">
        <is>
          <t>Nisha Patel</t>
        </is>
      </c>
      <c r="C232" t="inlineStr">
        <is>
          <t>NP Tax Solutions</t>
        </is>
      </c>
      <c r="D232" t="inlineStr">
        <is>
          <t>CA</t>
        </is>
      </c>
      <c r="E232" t="inlineStr">
        <is>
          <t>A</t>
        </is>
      </c>
      <c r="F232" t="inlineStr">
        <is>
          <t>Contacted</t>
        </is>
      </c>
      <c r="G232" t="inlineStr">
        <is>
          <t>2026-05-02</t>
        </is>
      </c>
      <c r="H232" t="inlineStr">
        <is>
          <t>Follow-up 1 via WhatsApp if no reply</t>
        </is>
      </c>
      <c r="I232" t="inlineStr">
        <is>
          <t>2026-05-04</t>
        </is>
      </c>
      <c r="J232" t="inlineStr">
        <is>
          <t>Active</t>
        </is>
      </c>
      <c r="K232" t="inlineStr">
        <is>
          <t>Channel: WhatsApp 91-9825678901 | Email: nisha.patel@nptaxsolutions.com | Title: Senior CA | City: Surat | Source: User screenshot WhatsApp batch | Decision_Gap: Lead has been touched through WhatsApp; next conversation must reconstruct last wrong financial or business decision before positioning Fnomo. | [2026-05-02] WhatsApp contacted via user screenshot batch</t>
        </is>
      </c>
    </row>
    <row r="233">
      <c r="A233" t="inlineStr">
        <is>
          <t>WA-BIZ-001</t>
        </is>
      </c>
      <c r="B233" t="inlineStr">
        <is>
          <t>Ramesh Agarwal</t>
        </is>
      </c>
      <c r="C233" t="inlineStr">
        <is>
          <t>Agarwal Traders Pvt Ltd</t>
        </is>
      </c>
      <c r="D233" t="inlineStr">
        <is>
          <t>Business</t>
        </is>
      </c>
      <c r="E233" t="inlineStr">
        <is>
          <t>B</t>
        </is>
      </c>
      <c r="F233" t="inlineStr">
        <is>
          <t>Contacted</t>
        </is>
      </c>
      <c r="G233" t="inlineStr">
        <is>
          <t>2026-05-02</t>
        </is>
      </c>
      <c r="H233" t="inlineStr">
        <is>
          <t>Follow-up 1 via WhatsApp if no reply</t>
        </is>
      </c>
      <c r="I233" t="inlineStr">
        <is>
          <t>2026-05-04</t>
        </is>
      </c>
      <c r="J233" t="inlineStr">
        <is>
          <t>Active</t>
        </is>
      </c>
      <c r="K233" t="inlineStr">
        <is>
          <t>Channel: WhatsApp 91-9826789012 | Email: ramesh@agarwaltraders.in | Title: Director | City: Indore | Source: User screenshot WhatsApp batch | Decision_Gap: Lead has been touched through WhatsApp; next conversation must reconstruct last wrong financial or business decision before positioning Fnomo. | [2026-05-02] WhatsApp contacted via user screenshot batch</t>
        </is>
      </c>
    </row>
    <row r="234">
      <c r="A234" t="inlineStr">
        <is>
          <t>WA-BIZ-002</t>
        </is>
      </c>
      <c r="B234" t="inlineStr">
        <is>
          <t>Hiren Shah</t>
        </is>
      </c>
      <c r="C234" t="inlineStr">
        <is>
          <t>Shah Electronics Pvt Ltd</t>
        </is>
      </c>
      <c r="D234" t="inlineStr">
        <is>
          <t>Business</t>
        </is>
      </c>
      <c r="E234" t="inlineStr">
        <is>
          <t>B</t>
        </is>
      </c>
      <c r="F234" t="inlineStr">
        <is>
          <t>Contacted</t>
        </is>
      </c>
      <c r="G234" t="inlineStr">
        <is>
          <t>2026-05-02</t>
        </is>
      </c>
      <c r="H234" t="inlineStr">
        <is>
          <t>Follow-up 1 via WhatsApp if no reply</t>
        </is>
      </c>
      <c r="I234" t="inlineStr">
        <is>
          <t>2026-05-04</t>
        </is>
      </c>
      <c r="J234" t="inlineStr">
        <is>
          <t>Active</t>
        </is>
      </c>
      <c r="K234" t="inlineStr">
        <is>
          <t>Channel: WhatsApp 91-9824123456 | Email: hiren.shah@shahelectronics.in | Title: Managing Director | City: Rajkot | Source: User screenshot WhatsApp batch | Decision_Gap: Lead has been touched through WhatsApp; next conversation must reconstruct last wrong financial or business decision before positioning Fnomo. | [2026-05-02] WhatsApp contacted via user screenshot batch</t>
        </is>
      </c>
    </row>
    <row r="235">
      <c r="A235" t="inlineStr">
        <is>
          <t>WA-BIZ-003</t>
        </is>
      </c>
      <c r="B235" t="inlineStr">
        <is>
          <t>Kavita Singh</t>
        </is>
      </c>
      <c r="C235" t="inlineStr">
        <is>
          <t>KS Logistics Solutions</t>
        </is>
      </c>
      <c r="D235" t="inlineStr">
        <is>
          <t>Business</t>
        </is>
      </c>
      <c r="E235" t="inlineStr">
        <is>
          <t>B</t>
        </is>
      </c>
      <c r="F235" t="inlineStr">
        <is>
          <t>Contacted</t>
        </is>
      </c>
      <c r="G235" t="inlineStr">
        <is>
          <t>2026-05-02</t>
        </is>
      </c>
      <c r="H235" t="inlineStr">
        <is>
          <t>Follow-up 1 via WhatsApp if no reply</t>
        </is>
      </c>
      <c r="I235" t="inlineStr">
        <is>
          <t>2026-05-04</t>
        </is>
      </c>
      <c r="J235" t="inlineStr">
        <is>
          <t>Active</t>
        </is>
      </c>
      <c r="K235" t="inlineStr">
        <is>
          <t>Channel: WhatsApp 91-9823901234 | Email: kavita@kslogistics.in | Title: CEO | City: Nagpur | Source: User screenshot WhatsApp batch | Decision_Gap: Lead has been touched through WhatsApp; next conversation must reconstruct last wrong financial or business decision before positioning Fnomo. | [2026-05-02] WhatsApp contacted via user screenshot batch</t>
        </is>
      </c>
    </row>
    <row r="236">
      <c r="A236" t="inlineStr">
        <is>
          <t>WA-BIZ-004</t>
        </is>
      </c>
      <c r="B236" t="inlineStr">
        <is>
          <t>Prakash Reddy</t>
        </is>
      </c>
      <c r="C236" t="inlineStr">
        <is>
          <t>Reddy Agro Exports</t>
        </is>
      </c>
      <c r="D236" t="inlineStr">
        <is>
          <t>Business</t>
        </is>
      </c>
      <c r="E236" t="inlineStr">
        <is>
          <t>B</t>
        </is>
      </c>
      <c r="F236" t="inlineStr">
        <is>
          <t>Contacted</t>
        </is>
      </c>
      <c r="G236" t="inlineStr">
        <is>
          <t>2026-05-02</t>
        </is>
      </c>
      <c r="H236" t="inlineStr">
        <is>
          <t>Follow-up 1 via WhatsApp if no reply</t>
        </is>
      </c>
      <c r="I236" t="inlineStr">
        <is>
          <t>2026-05-04</t>
        </is>
      </c>
      <c r="J236" t="inlineStr">
        <is>
          <t>Active</t>
        </is>
      </c>
      <c r="K236" t="inlineStr">
        <is>
          <t>Channel: WhatsApp 91-9848234567 | Email: prakash@reddyagroexports.com | Title: Founder | City: Vijayawada | Source: User screenshot WhatsApp batch | Decision_Gap: Lead has been touched through WhatsApp; next conversation must reconstruct last wrong financial or business decision before positioning Fnomo. | [2026-05-02] WhatsApp contacted via user screenshot batch</t>
        </is>
      </c>
    </row>
    <row r="237">
      <c r="A237" t="inlineStr">
        <is>
          <t>WA-BIZ-005</t>
        </is>
      </c>
      <c r="B237" t="inlineStr">
        <is>
          <t>Sunita Joshi</t>
        </is>
      </c>
      <c r="C237" t="inlineStr">
        <is>
          <t>Joshi Pharmaceuticals</t>
        </is>
      </c>
      <c r="D237" t="inlineStr">
        <is>
          <t>CA</t>
        </is>
      </c>
      <c r="E237" t="inlineStr">
        <is>
          <t>A</t>
        </is>
      </c>
      <c r="F237" t="inlineStr">
        <is>
          <t>Contacted</t>
        </is>
      </c>
      <c r="G237" t="inlineStr">
        <is>
          <t>2026-05-02</t>
        </is>
      </c>
      <c r="H237" t="inlineStr">
        <is>
          <t>Follow-up 1 via WhatsApp if no reply</t>
        </is>
      </c>
      <c r="I237" t="inlineStr">
        <is>
          <t>2026-05-04</t>
        </is>
      </c>
      <c r="J237" t="inlineStr">
        <is>
          <t>Active</t>
        </is>
      </c>
      <c r="K237" t="inlineStr">
        <is>
          <t>Channel: WhatsApp 91-9821345678 | Email: sunita@joshipharma.in | Title: Proprietor | City: Nashik | Source: User screenshot WhatsApp batch | Decision_Gap: Lead has been touched through WhatsApp; next conversation must reconstruct last wrong financial or business decision before positioning Fnomo. | [2026-05-02] WhatsApp contacted via user screenshot batch</t>
        </is>
      </c>
    </row>
    <row r="238">
      <c r="A238" t="inlineStr">
        <is>
          <t>WA-BIZ-006</t>
        </is>
      </c>
      <c r="B238" t="inlineStr">
        <is>
          <t>Ashok Tiwari</t>
        </is>
      </c>
      <c r="C238" t="inlineStr">
        <is>
          <t>Tiwari Construction Group</t>
        </is>
      </c>
      <c r="D238" t="inlineStr">
        <is>
          <t>Business</t>
        </is>
      </c>
      <c r="E238" t="inlineStr">
        <is>
          <t>B</t>
        </is>
      </c>
      <c r="F238" t="inlineStr">
        <is>
          <t>Contacted</t>
        </is>
      </c>
      <c r="G238" t="inlineStr">
        <is>
          <t>2026-05-02</t>
        </is>
      </c>
      <c r="H238" t="inlineStr">
        <is>
          <t>Follow-up 1 via WhatsApp if no reply</t>
        </is>
      </c>
      <c r="I238" t="inlineStr">
        <is>
          <t>2026-05-04</t>
        </is>
      </c>
      <c r="J238" t="inlineStr">
        <is>
          <t>Active</t>
        </is>
      </c>
      <c r="K238" t="inlineStr">
        <is>
          <t>Channel: WhatsApp 91-9827890123 | Email: ashok.tiwari@tiwariconstructions.in | Title: Managing Partner | City: Bhopal | Source: User screenshot WhatsApp batch | Decision_Gap: Lead has been touched through WhatsApp; next conversation must reconstruct last wrong financial or business decision before positioning Fnomo. | [2026-05-02] WhatsApp contacted via user screenshot batch</t>
        </is>
      </c>
    </row>
    <row r="239">
      <c r="A239" t="inlineStr">
        <is>
          <t>WA-BIZ-007</t>
        </is>
      </c>
      <c r="B239" t="inlineStr">
        <is>
          <t>Fatima Merchant</t>
        </is>
      </c>
      <c r="C239" t="inlineStr">
        <is>
          <t>Merchant Textiles Ltd</t>
        </is>
      </c>
      <c r="D239" t="inlineStr">
        <is>
          <t>Business</t>
        </is>
      </c>
      <c r="E239" t="inlineStr">
        <is>
          <t>B</t>
        </is>
      </c>
      <c r="F239" t="inlineStr">
        <is>
          <t>Contacted</t>
        </is>
      </c>
      <c r="G239" t="inlineStr">
        <is>
          <t>2026-05-02</t>
        </is>
      </c>
      <c r="H239" t="inlineStr">
        <is>
          <t>Follow-up 1 via WhatsApp if no reply</t>
        </is>
      </c>
      <c r="I239" t="inlineStr">
        <is>
          <t>2026-05-04</t>
        </is>
      </c>
      <c r="J239" t="inlineStr">
        <is>
          <t>Active</t>
        </is>
      </c>
      <c r="K239" t="inlineStr">
        <is>
          <t>Channel: WhatsApp 91-9825901234 | Email: fatima@merchanttextiles.in | Title: Director | City: Surat | Source: User screenshot WhatsApp batch | Decision_Gap: Lead has been touched through WhatsApp; next conversation must reconstruct last wrong financial or business decision before positioning Fnomo. | [2026-05-02] WhatsApp contacted via user screenshot batch</t>
        </is>
      </c>
    </row>
    <row r="240">
      <c r="A240" t="inlineStr">
        <is>
          <t>WA-BIZ-008</t>
        </is>
      </c>
      <c r="B240" t="inlineStr">
        <is>
          <t>Kiran Babu</t>
        </is>
      </c>
      <c r="C240" t="inlineStr">
        <is>
          <t>Babu Industries Ltd</t>
        </is>
      </c>
      <c r="D240" t="inlineStr">
        <is>
          <t>Business</t>
        </is>
      </c>
      <c r="E240" t="inlineStr">
        <is>
          <t>B</t>
        </is>
      </c>
      <c r="F240" t="inlineStr">
        <is>
          <t>Contacted</t>
        </is>
      </c>
      <c r="G240" t="inlineStr">
        <is>
          <t>2026-05-02</t>
        </is>
      </c>
      <c r="H240" t="inlineStr">
        <is>
          <t>Follow-up 1 via WhatsApp if no reply</t>
        </is>
      </c>
      <c r="I240" t="inlineStr">
        <is>
          <t>2026-05-04</t>
        </is>
      </c>
      <c r="J240" t="inlineStr">
        <is>
          <t>Active</t>
        </is>
      </c>
      <c r="K240" t="inlineStr">
        <is>
          <t>Channel: WhatsApp 91-9843567890 | Email: kiran.babu@babuindustries.in | Title: Chairman | City: Coimbatore | Source: User screenshot WhatsApp batch | Decision_Gap: Lead has been touched through WhatsApp; next conversation must reconstruct last wrong financial or business decision before positioning Fnomo. | [2026-05-02] WhatsApp contacted via user screenshot batch</t>
        </is>
      </c>
    </row>
    <row r="241">
      <c r="A241" t="inlineStr">
        <is>
          <t>WA-BIZ-009</t>
        </is>
      </c>
      <c r="B241" t="inlineStr">
        <is>
          <t>Manish Khanna</t>
        </is>
      </c>
      <c r="C241" t="inlineStr">
        <is>
          <t>Khanna Real Estate Developers</t>
        </is>
      </c>
      <c r="D241" t="inlineStr">
        <is>
          <t>Business</t>
        </is>
      </c>
      <c r="E241" t="inlineStr">
        <is>
          <t>B</t>
        </is>
      </c>
      <c r="F241" t="inlineStr">
        <is>
          <t>Contacted</t>
        </is>
      </c>
      <c r="G241" t="inlineStr">
        <is>
          <t>2026-05-02</t>
        </is>
      </c>
      <c r="H241" t="inlineStr">
        <is>
          <t>Follow-up 1 via WhatsApp if no reply</t>
        </is>
      </c>
      <c r="I241" t="inlineStr">
        <is>
          <t>2026-05-04</t>
        </is>
      </c>
      <c r="J241" t="inlineStr">
        <is>
          <t>Active</t>
        </is>
      </c>
      <c r="K241" t="inlineStr">
        <is>
          <t>Channel: WhatsApp 91-9814678901 | Email: manish@khannaestates.in | Title: Founder &amp; CEO | City: Chandigarh | Source: User screenshot WhatsApp batch | Decision_Gap: Lead has been touched through WhatsApp; next conversation must reconstruct last wrong financial or business decision before positioning Fnomo. | [2026-05-02] WhatsApp contacted via user screenshot batch</t>
        </is>
      </c>
    </row>
    <row r="242">
      <c r="A242" t="inlineStr">
        <is>
          <t>WA-BIZ-010</t>
        </is>
      </c>
      <c r="B242" t="inlineStr">
        <is>
          <t>Geeta Pandey</t>
        </is>
      </c>
      <c r="C242" t="inlineStr">
        <is>
          <t>Pandey Food Processing</t>
        </is>
      </c>
      <c r="D242" t="inlineStr">
        <is>
          <t>Business</t>
        </is>
      </c>
      <c r="E242" t="inlineStr">
        <is>
          <t>B</t>
        </is>
      </c>
      <c r="F242" t="inlineStr">
        <is>
          <t>Contacted</t>
        </is>
      </c>
      <c r="G242" t="inlineStr">
        <is>
          <t>2026-05-02</t>
        </is>
      </c>
      <c r="H242" t="inlineStr">
        <is>
          <t>Follow-up 1 via WhatsApp if no reply</t>
        </is>
      </c>
      <c r="I242" t="inlineStr">
        <is>
          <t>2026-05-04</t>
        </is>
      </c>
      <c r="J242" t="inlineStr">
        <is>
          <t>Active</t>
        </is>
      </c>
      <c r="K242" t="inlineStr">
        <is>
          <t>Channel: WhatsApp 91-9812345678 | Email: geeta.pandey@pandeyfoods.in | Title: Director | City: Lucknow | Source: User screenshot WhatsApp batch | Decision_Gap: Lead has been touched through WhatsApp; next conversation must reconstruct last wrong financial or business decision before positioning Fnomo. | [2026-05-02] WhatsApp contacted via user screenshot batch</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8"/>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sheetData>
  <mergeCells count="2">
    <mergeCell ref="A2:F2"/>
    <mergeCell ref="A1:F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sheetData>
  <mergeCells count="2">
    <mergeCell ref="A2:H2"/>
    <mergeCell ref="A1:H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12"/>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pwcvpl@hotmail.com; sumitlalwani66@gmail.com; svarliyani@gmail.com; yantrainfotech@gmail.com; kgbansal2@gmail.com; salesenquiry.ee@gmail.com; star.delta@rediffmail.com; sdtl.bhopal@gmail.com; vijay_bora@hotmail.com; contact@hindpharmaindia.com; sales@hindpharma.com; tesla@teslaindia.co; mktg@teslatransformers.com; info@parvatisweetners.com; info@parvatisweetners.co.in; pscmd@geiind.com; cs@geiind.com; contact@cjgelatineproducts.com; cjsecretarial@gmail.com</t>
        </is>
      </c>
      <c r="C6" s="188" t="inlineStr">
        <is>
          <t>Kush</t>
        </is>
      </c>
      <c r="D6" s="189" t="inlineStr">
        <is>
          <t>2026-05-02</t>
        </is>
      </c>
      <c r="E6" s="189" t="inlineStr">
        <is>
          <t>2026-05-04</t>
        </is>
      </c>
      <c r="F6" s="189" t="inlineStr">
        <is>
          <t>2026-05-06</t>
        </is>
      </c>
      <c r="G6" s="189" t="inlineStr">
        <is>
          <t>2026-05-09</t>
        </is>
      </c>
      <c r="H6" s="188" t="inlineStr">
        <is>
          <t>What was the last expensive decision that looked right at the time?</t>
        </is>
      </c>
      <c r="I6" s="188" t="inlineStr">
        <is>
          <t>Hi [Name],
I am reaching out because owner-led businesses often lose money on decisions that did not look reckless at the time. They looked reasonable: a stock call, a vendor commitment, an expansion move, or a personal capital decision made with confidence.
What was the last expensive decision you were confident about, but later wished you had stress-tested before acting?
Fnomo is built around that gap: validating the decision before money moves. Worth a short conversation?
Kush
Operator note: send first-wave owner emails first. If logged today, use named industrial Tier A routes next: B.K., S.K., Electro Auto, T S Industrys, Cee Dee, Enterprising Engineers. Do not add generic inboxes to the same send.
Priority addendum: Enterprising Engineers now has direct MD/CEO/partner routes; new GIA industrial contacts stay queued until Tier A owner sends are logged.
Latest enrichment addendum: added Star Delta, Bora Brothers, Hind Pharma, and Tesla as public direct leadership routes. Send only after the earlier Tier A owner batch is logged, unless capacity allows a second owner batch today.
Latest enrichment addendum: Righill is now a Tier A director route; Sameer, Evergreen, Crown, Dawn, and S M Motors are queued public routes. Do not add queued Tier B contacts to the first send wave until logged owner sends or scale validation justify it.
Latest enrichment addendum: Kumaran and Kakda are now scale-supported Tier A routes. Use only after the current owner batch is logged; verify Kakda written email before any email send and keep the first touch on working-capital/procurement decision quality.
Latest enrichment addendum: direct public contact fields are now explicit in master rows for Righill, Sameer, Kumaran, and Kakda. Use Righill/Kumaran/Kakda only after current Tier A sends are logged; Sameer stays queued Tier B pending scale validation.
Overnight addendum: Parvati/GEI/C.J. Gelatine are now Tier A official leadership routes for the next controlled owner batch. Autosign/Farmila remain queued until scale is confirmed. Do not expand first-wave recipients until current owner sends are logged.
Overnight addendum: Parvati, GEI, and C.J. Gelatine now have strengthened public listed-company routes in the master pipeline. Use them as the next controlled Tier A batch only after the existing owner sends are logged. Autosign and Farmila have direct public owner/mobile routes but stay queued for scale/intent verification.</t>
        </is>
      </c>
    </row>
    <row r="7">
      <c r="A7" s="188" t="inlineStr">
        <is>
          <t>CA Associations</t>
        </is>
      </c>
      <c r="B7" s="188" t="inlineStr">
        <is>
          <t>arpit.rai07@gmail.com; caabhishek108@gmail.com; DHANUKA_RAJ17@YAHOO.CO.IN; milind.wadhwani20@gmail.com; bhopal@icai.org; indore@icai.in; govind.agarwal@icai.in; circ@icai.in; chhajed_abhay@hotmail.com; anandjain812@gmail.com; pankajgshah@gmail.com</t>
        </is>
      </c>
      <c r="C7" s="188" t="inlineStr">
        <is>
          <t>Kush</t>
        </is>
      </c>
      <c r="D7" s="189" t="inlineStr">
        <is>
          <t>2026-05-02</t>
        </is>
      </c>
      <c r="E7" s="189" t="inlineStr">
        <is>
          <t>2026-05-04</t>
        </is>
      </c>
      <c r="F7" s="189" t="inlineStr">
        <is>
          <t>2026-05-06</t>
        </is>
      </c>
      <c r="G7" s="189" t="inlineStr">
        <is>
          <t>2026-05-09</t>
        </is>
      </c>
      <c r="H7" s="188" t="inlineStr">
        <is>
          <t>A question about client decisions that go wrong</t>
        </is>
      </c>
      <c r="I7" s="188" t="inlineStr">
        <is>
          <t>Hello [Association Leader],
CAs often see the same pattern before damage shows up: a client had information, had confidence, and still made the wrong money decision because the thinking itself was never validated.
What was the last client decision your members saw go wrong even though the client believed they had done enough homework?
That is the gap Fnomo is built around: decision validation before capital is committed. I would like to explore whether this can create practical member value for your branch.
Kush
Operator note: send chair/secretary first; use CPE chapter routes only after first-wave touches or Follow-up 1. Keep the ask around client decisions that looked informed but were not validated.
Priority addendum: use CA Govind Agarwal only as a regional routing path after Bhopal/Indore chair-secretary touches.
CIRC regional council addendum: CA Ankur Goyal, CA Ankush Jain, and CA Nirbhik Gandhi are verified regional escalation routes. Use only after Bhopal/Indore chair-secretary touches or if local ownership is unclear.
Latest enrichment addendum: Lucknow and Varanasi CIRC branches are verified 2025-2026 large-branch expansion routes. Keep them queued behind Bhopal/Indore chair-secretary touches and CIRC regional routing.
Latest enrichment addendum: CIRC regional, Lucknow, and Varanasi rows now include direct public mobiles/emails. Keep Bhopal/Indore chair-secretary first; use regional/large-branch routes only after first-wave touches are logged or routing stalls.
Overnight addendum: Raipur/Jaipur CIRC chair-secretary contacts are now queued expansion routes. Keep Bhopal/Indore and CIRC regional follow-up first; use larger branches only after first-wave action is logged or routing stalls.
Overnight addendum: Abhay Chhajed, Anand Jain, and Pankaj Shah have been added as CIRC escalation/support rows. Use Abhay only after Bhopal chair/secretary follow-up is logged; keep Anand/Pankaj behind Indore local trust unless routing stalls.</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sheetData>
  <mergeCells count="2">
    <mergeCell ref="A2:G2"/>
    <mergeCell ref="A1:G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38"/>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3"/>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row r="32">
      <c r="A32" s="190" t="inlineStr">
        <is>
          <t>2026-05-02</t>
        </is>
      </c>
      <c r="B32" s="187" t="inlineStr">
        <is>
          <t>Priority Enrichment</t>
        </is>
      </c>
      <c r="C32" s="187" t="inlineStr">
        <is>
          <t>Business Owners &gt;2Cr</t>
        </is>
      </c>
      <c r="D32" s="187" t="inlineStr">
        <is>
          <t>Codex</t>
        </is>
      </c>
      <c r="E32" s="187" t="inlineStr">
        <is>
          <t>Workbook + web</t>
        </is>
      </c>
      <c r="F32" s="187" t="inlineStr">
        <is>
          <t>Added 5 public business leadership routes; promoted Parvati, GEI, and C.J. Gelatine as Tier A expansion, queued Autosign/Farmila</t>
        </is>
      </c>
      <c r="G32" s="187" t="inlineStr">
        <is>
          <t>Log existing Tier A sends first, then use listed/manufacturing owner batch without generic inbox blast</t>
        </is>
      </c>
      <c r="H32" s="187" t="inlineStr">
        <is>
          <t>Fnomo Overnight Priority Enrichment</t>
        </is>
      </c>
    </row>
    <row r="33">
      <c r="A33" s="190" t="inlineStr">
        <is>
          <t>2026-05-02</t>
        </is>
      </c>
      <c r="B33" s="187" t="inlineStr">
        <is>
          <t>Priority Enrichment</t>
        </is>
      </c>
      <c r="C33" s="187" t="inlineStr">
        <is>
          <t>CA Associations</t>
        </is>
      </c>
      <c r="D33" s="187" t="inlineStr">
        <is>
          <t>Codex</t>
        </is>
      </c>
      <c r="E33" s="187" t="inlineStr">
        <is>
          <t>Workbook + web</t>
        </is>
      </c>
      <c r="F33" s="187" t="inlineStr">
        <is>
          <t>Confirmed Raipur and Jaipur CIRC chair/secretary direct public routes already present; tightened aggregate CA execution order</t>
        </is>
      </c>
      <c r="G33" s="187" t="inlineStr">
        <is>
          <t>Follow up Bhopal/Indore first; use larger branches only if routing stalls or expansion capacity opens</t>
        </is>
      </c>
      <c r="H33" s="187" t="inlineStr">
        <is>
          <t>Fnomo Overnight Priority Enrichment</t>
        </is>
      </c>
    </row>
    <row r="34">
      <c r="A34" s="190" t="inlineStr">
        <is>
          <t>2026-05-02</t>
        </is>
      </c>
      <c r="B34" s="187" t="inlineStr">
        <is>
          <t>Workbook Hygiene</t>
        </is>
      </c>
      <c r="C34" s="187" t="inlineStr">
        <is>
          <t>FNOMO_MASTER_PIPELINE</t>
        </is>
      </c>
      <c r="D34" s="187" t="inlineStr">
        <is>
          <t>Codex</t>
        </is>
      </c>
      <c r="E34" s="187" t="inlineStr">
        <is>
          <t>Workbook</t>
        </is>
      </c>
      <c r="F34" s="187" t="inlineStr">
        <is>
          <t>Updated aggregate BO/CA mandate rows and outreach addenda without creating sheets</t>
        </is>
      </c>
      <c r="G34" s="187" t="inlineStr">
        <is>
          <t>Keep Tier A rows actioned before promoting queued Tier B routes</t>
        </is>
      </c>
      <c r="H34" s="187" t="inlineStr">
        <is>
          <t>Fnomo Overnight Priority Enrichment</t>
        </is>
      </c>
    </row>
    <row r="35">
      <c r="A35" t="inlineStr">
        <is>
          <t>2026-05-02</t>
        </is>
      </c>
      <c r="B35" t="inlineStr">
        <is>
          <t>WhatsApp Outreach</t>
        </is>
      </c>
      <c r="C35" t="inlineStr">
        <is>
          <t>WhatsApp CA lead batch</t>
        </is>
      </c>
      <c r="D35" t="inlineStr">
        <is>
          <t>Kush</t>
        </is>
      </c>
      <c r="E35" t="inlineStr">
        <is>
          <t>WhatsApp</t>
        </is>
      </c>
      <c r="F35" t="inlineStr">
        <is>
          <t>20 leads marked Contacted from Godmode CA batch</t>
        </is>
      </c>
      <c r="G35" t="inlineStr">
        <is>
          <t>Follow up on 2026-05-04 if no reply; classify replies immediately</t>
        </is>
      </c>
      <c r="H35" t="inlineStr">
        <is>
          <t>User screenshot / WhatsApp lead batch</t>
        </is>
      </c>
    </row>
    <row r="36">
      <c r="A36" t="inlineStr">
        <is>
          <t>2026-05-02</t>
        </is>
      </c>
      <c r="B36" t="inlineStr">
        <is>
          <t>Pipeline Hygiene</t>
        </is>
      </c>
      <c r="C36" t="inlineStr">
        <is>
          <t>WHATSAPP_CA_LEADS + FNOMO_MASTER_PIPELINE</t>
        </is>
      </c>
      <c r="D36" t="inlineStr">
        <is>
          <t>Codex</t>
        </is>
      </c>
      <c r="E36" t="inlineStr">
        <is>
          <t>Workbook</t>
        </is>
      </c>
      <c r="F36" t="inlineStr">
        <is>
          <t>Separated WhatsApp lead bank from Codex Godmode repo concept and renamed GOD-prefixed lead IDs</t>
        </is>
      </c>
      <c r="G36" t="inlineStr">
        <is>
          <t>Use WHATSAPP_CA_LEADS as raw batch sheet; use FNOMO_MASTER_PIPELINE for follow-up execution</t>
        </is>
      </c>
      <c r="H36" t="inlineStr">
        <is>
          <t>User correction</t>
        </is>
      </c>
    </row>
    <row r="37">
      <c r="A37" t="inlineStr">
        <is>
          <t>2026-05-02</t>
        </is>
      </c>
      <c r="B37" t="inlineStr">
        <is>
          <t>Priority Enrichment</t>
        </is>
      </c>
      <c r="C37" t="inlineStr">
        <is>
          <t>Business Owners &gt;2Cr public owner routes</t>
        </is>
      </c>
      <c r="D37" t="inlineStr">
        <is>
          <t>Codex</t>
        </is>
      </c>
      <c r="E37" t="inlineStr">
        <is>
          <t>Workbook + web</t>
        </is>
      </c>
      <c r="F37" t="inlineStr">
        <is>
          <t>Strengthened Parvati, GEI, C.J. Gelatine, Autosign, and Farmila rows with public emails, phones, named leaders, and stricter send order.</t>
        </is>
      </c>
      <c r="G37" t="inlineStr">
        <is>
          <t>Execute/log current Tier A sends; then use Parvati/GEI/C.J. only as controlled next batch.</t>
        </is>
      </c>
      <c r="H37" t="inlineStr">
        <is>
          <t>Fnomo Overnight Priority Enrichment</t>
        </is>
      </c>
    </row>
    <row r="38">
      <c r="A38" t="inlineStr">
        <is>
          <t>2026-05-02</t>
        </is>
      </c>
      <c r="B38" t="inlineStr">
        <is>
          <t>Priority Enrichment</t>
        </is>
      </c>
      <c r="C38" t="inlineStr">
        <is>
          <t>CA Associations CIRC escalation routes</t>
        </is>
      </c>
      <c r="D38" t="inlineStr">
        <is>
          <t>Codex</t>
        </is>
      </c>
      <c r="E38" t="inlineStr">
        <is>
          <t>Workbook + web</t>
        </is>
      </c>
      <c r="F38" t="inlineStr">
        <is>
          <t>Added Abhay Chhajed, Anand Jain, and Pankaj Shah as public CIRC routing rows without creating new sheets.</t>
        </is>
      </c>
      <c r="G38" t="inlineStr">
        <is>
          <t>Follow up Bhopal/Indore first-wave; use escalation rows only if ownership stalls.</t>
        </is>
      </c>
      <c r="H38" t="inlineStr">
        <is>
          <t>Fnomo Overnight Priority Enrichment</t>
        </is>
      </c>
    </row>
  </sheetData>
  <mergeCells count="2">
    <mergeCell ref="A2:H2"/>
    <mergeCell ref="A1:H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style="80" min="1" max="1"/>
    <col width="22" customWidth="1" style="80" min="2" max="2"/>
    <col width="24" customWidth="1" style="80" min="3" max="3"/>
    <col width="34" customWidth="1" style="80" min="4" max="4"/>
    <col width="16" customWidth="1" style="80" min="5" max="5"/>
    <col width="18" customWidth="1" style="80" min="6" max="6"/>
    <col width="34" customWidth="1" style="80" min="7" max="7"/>
    <col width="14" customWidth="1" style="80" min="8" max="8"/>
    <col width="10" customWidth="1" style="80" min="9" max="9"/>
    <col width="14" customWidth="1" style="80" min="10" max="10"/>
    <col width="18" customWidth="1" style="80" min="11" max="11"/>
    <col width="34" customWidth="1" style="80" min="12" max="12"/>
    <col width="18" customWidth="1" style="80" min="13" max="13"/>
    <col width="14" customWidth="1" style="80" min="14" max="14"/>
    <col width="28" customWidth="1" style="80" min="15" max="15"/>
    <col width="56" customWidth="1" style="80" min="16" max="16"/>
  </cols>
  <sheetData>
    <row r="1">
      <c r="A1" s="261" t="inlineStr">
        <is>
          <t>Lead_ID</t>
        </is>
      </c>
      <c r="B1" s="261" t="inlineStr">
        <is>
          <t>Name</t>
        </is>
      </c>
      <c r="C1" s="261" t="inlineStr">
        <is>
          <t>Title</t>
        </is>
      </c>
      <c r="D1" s="261" t="inlineStr">
        <is>
          <t>Company</t>
        </is>
      </c>
      <c r="E1" s="261" t="inlineStr">
        <is>
          <t>City</t>
        </is>
      </c>
      <c r="F1" s="261" t="inlineStr">
        <is>
          <t>WhatsApp</t>
        </is>
      </c>
      <c r="G1" s="261" t="inlineStr">
        <is>
          <t>Email</t>
        </is>
      </c>
      <c r="H1" s="261" t="inlineStr">
        <is>
          <t>Segment</t>
        </is>
      </c>
      <c r="I1" s="261" t="inlineStr">
        <is>
          <t>Tier</t>
        </is>
      </c>
      <c r="J1" s="261" t="inlineStr">
        <is>
          <t>Stage</t>
        </is>
      </c>
      <c r="K1" s="261" t="inlineStr">
        <is>
          <t>Last_Contact_Date</t>
        </is>
      </c>
      <c r="L1" s="261" t="inlineStr">
        <is>
          <t>Next_Action</t>
        </is>
      </c>
      <c r="M1" s="261" t="inlineStr">
        <is>
          <t>Next_Action_Date</t>
        </is>
      </c>
      <c r="N1" s="261" t="inlineStr">
        <is>
          <t>Status</t>
        </is>
      </c>
      <c r="O1" s="261" t="inlineStr">
        <is>
          <t>Source</t>
        </is>
      </c>
      <c r="P1" s="261" t="inlineStr">
        <is>
          <t>Notes</t>
        </is>
      </c>
    </row>
    <row r="2">
      <c r="A2" t="inlineStr">
        <is>
          <t>WA-CA-001</t>
        </is>
      </c>
      <c r="B2" t="inlineStr">
        <is>
          <t>Rajesh Jain</t>
        </is>
      </c>
      <c r="C2" t="inlineStr">
        <is>
          <t>Chartered Accountant</t>
        </is>
      </c>
      <c r="D2" t="inlineStr">
        <is>
          <t>Jain &amp; Associates</t>
        </is>
      </c>
      <c r="E2" t="inlineStr">
        <is>
          <t>Mumbai</t>
        </is>
      </c>
      <c r="F2" t="inlineStr">
        <is>
          <t>91-9820123456</t>
        </is>
      </c>
      <c r="G2" t="inlineStr">
        <is>
          <t>rajesh.jain@jainassociates.in</t>
        </is>
      </c>
      <c r="H2" t="inlineStr">
        <is>
          <t>CA</t>
        </is>
      </c>
      <c r="I2" t="inlineStr">
        <is>
          <t>A</t>
        </is>
      </c>
      <c r="J2" t="inlineStr">
        <is>
          <t>Contacted</t>
        </is>
      </c>
      <c r="K2" t="inlineStr">
        <is>
          <t>2026-05-02</t>
        </is>
      </c>
      <c r="L2" t="inlineStr">
        <is>
          <t>Follow-up 1 via WhatsApp if no reply</t>
        </is>
      </c>
      <c r="M2" t="inlineStr">
        <is>
          <t>2026-05-04</t>
        </is>
      </c>
      <c r="N2" t="inlineStr">
        <is>
          <t>Active</t>
        </is>
      </c>
      <c r="O2" t="inlineStr">
        <is>
          <t>User screenshot WhatsApp batch</t>
        </is>
      </c>
      <c r="P2" t="inlineStr">
        <is>
          <t>Separate lead-bank update; pipeline row mirrors contact status.</t>
        </is>
      </c>
    </row>
    <row r="3">
      <c r="A3" t="inlineStr">
        <is>
          <t>WA-CA-002</t>
        </is>
      </c>
      <c r="B3" t="inlineStr">
        <is>
          <t>Priya Mehta</t>
        </is>
      </c>
      <c r="C3" t="inlineStr">
        <is>
          <t>Senior CA</t>
        </is>
      </c>
      <c r="D3" t="inlineStr">
        <is>
          <t>Mehta Tax Consultants</t>
        </is>
      </c>
      <c r="E3" t="inlineStr">
        <is>
          <t>Delhi</t>
        </is>
      </c>
      <c r="F3" t="inlineStr">
        <is>
          <t>91-9810234567</t>
        </is>
      </c>
      <c r="G3" t="inlineStr">
        <is>
          <t>priya.mehta@mehtatax.com</t>
        </is>
      </c>
      <c r="H3" t="inlineStr">
        <is>
          <t>CA</t>
        </is>
      </c>
      <c r="I3" t="inlineStr">
        <is>
          <t>A</t>
        </is>
      </c>
      <c r="J3" t="inlineStr">
        <is>
          <t>Contacted</t>
        </is>
      </c>
      <c r="K3" t="inlineStr">
        <is>
          <t>2026-05-02</t>
        </is>
      </c>
      <c r="L3" t="inlineStr">
        <is>
          <t>Follow-up 1 via WhatsApp if no reply</t>
        </is>
      </c>
      <c r="M3" t="inlineStr">
        <is>
          <t>2026-05-04</t>
        </is>
      </c>
      <c r="N3" t="inlineStr">
        <is>
          <t>Active</t>
        </is>
      </c>
      <c r="O3" t="inlineStr">
        <is>
          <t>User screenshot WhatsApp batch</t>
        </is>
      </c>
      <c r="P3" t="inlineStr">
        <is>
          <t>Separate lead-bank update; pipeline row mirrors contact status.</t>
        </is>
      </c>
    </row>
    <row r="4">
      <c r="A4" t="inlineStr">
        <is>
          <t>WA-CA-003</t>
        </is>
      </c>
      <c r="B4" t="inlineStr">
        <is>
          <t>Suresh Kumar</t>
        </is>
      </c>
      <c r="C4" t="inlineStr">
        <is>
          <t>Practicing CA</t>
        </is>
      </c>
      <c r="D4" t="inlineStr">
        <is>
          <t>SKR Partners</t>
        </is>
      </c>
      <c r="E4" t="inlineStr">
        <is>
          <t>Bangalore</t>
        </is>
      </c>
      <c r="F4" t="inlineStr">
        <is>
          <t>91-9845678901</t>
        </is>
      </c>
      <c r="G4" t="inlineStr">
        <is>
          <t>suresh@skrpartners.co.in</t>
        </is>
      </c>
      <c r="H4" t="inlineStr">
        <is>
          <t>CA</t>
        </is>
      </c>
      <c r="I4" t="inlineStr">
        <is>
          <t>A</t>
        </is>
      </c>
      <c r="J4" t="inlineStr">
        <is>
          <t>Contacted</t>
        </is>
      </c>
      <c r="K4" t="inlineStr">
        <is>
          <t>2026-05-02</t>
        </is>
      </c>
      <c r="L4" t="inlineStr">
        <is>
          <t>Follow-up 1 via WhatsApp if no reply</t>
        </is>
      </c>
      <c r="M4" t="inlineStr">
        <is>
          <t>2026-05-04</t>
        </is>
      </c>
      <c r="N4" t="inlineStr">
        <is>
          <t>Active</t>
        </is>
      </c>
      <c r="O4" t="inlineStr">
        <is>
          <t>User screenshot WhatsApp batch</t>
        </is>
      </c>
      <c r="P4" t="inlineStr">
        <is>
          <t>Separate lead-bank update; pipeline row mirrors contact status.</t>
        </is>
      </c>
    </row>
    <row r="5">
      <c r="A5" t="inlineStr">
        <is>
          <t>WA-CA-004</t>
        </is>
      </c>
      <c r="B5" t="inlineStr">
        <is>
          <t>Ankita Shah</t>
        </is>
      </c>
      <c r="C5" t="inlineStr">
        <is>
          <t>CA - FCA</t>
        </is>
      </c>
      <c r="D5" t="inlineStr">
        <is>
          <t>Shah Financial Services</t>
        </is>
      </c>
      <c r="E5" t="inlineStr">
        <is>
          <t>Ahmedabad</t>
        </is>
      </c>
      <c r="F5" t="inlineStr">
        <is>
          <t>91-9824567890</t>
        </is>
      </c>
      <c r="G5" t="inlineStr">
        <is>
          <t>ankita.shah@shahfinancial.in</t>
        </is>
      </c>
      <c r="H5" t="inlineStr">
        <is>
          <t>CA</t>
        </is>
      </c>
      <c r="I5" t="inlineStr">
        <is>
          <t>A</t>
        </is>
      </c>
      <c r="J5" t="inlineStr">
        <is>
          <t>Contacted</t>
        </is>
      </c>
      <c r="K5" t="inlineStr">
        <is>
          <t>2026-05-02</t>
        </is>
      </c>
      <c r="L5" t="inlineStr">
        <is>
          <t>Follow-up 1 via WhatsApp if no reply</t>
        </is>
      </c>
      <c r="M5" t="inlineStr">
        <is>
          <t>2026-05-04</t>
        </is>
      </c>
      <c r="N5" t="inlineStr">
        <is>
          <t>Active</t>
        </is>
      </c>
      <c r="O5" t="inlineStr">
        <is>
          <t>User screenshot WhatsApp batch</t>
        </is>
      </c>
      <c r="P5" t="inlineStr">
        <is>
          <t>Separate lead-bank update; pipeline row mirrors contact status.</t>
        </is>
      </c>
    </row>
    <row r="6">
      <c r="A6" t="inlineStr">
        <is>
          <t>WA-CA-005</t>
        </is>
      </c>
      <c r="B6" t="inlineStr">
        <is>
          <t>Vivek Nair</t>
        </is>
      </c>
      <c r="C6" t="inlineStr">
        <is>
          <t>Senior Partner</t>
        </is>
      </c>
      <c r="D6" t="inlineStr">
        <is>
          <t>Nair &amp; Co. Chartered Accountants</t>
        </is>
      </c>
      <c r="E6" t="inlineStr">
        <is>
          <t>Chennai</t>
        </is>
      </c>
      <c r="F6" t="inlineStr">
        <is>
          <t>91-9841234567</t>
        </is>
      </c>
      <c r="G6" t="inlineStr">
        <is>
          <t>vivek@nairandco.in</t>
        </is>
      </c>
      <c r="H6" t="inlineStr">
        <is>
          <t>CA</t>
        </is>
      </c>
      <c r="I6" t="inlineStr">
        <is>
          <t>A</t>
        </is>
      </c>
      <c r="J6" t="inlineStr">
        <is>
          <t>Contacted</t>
        </is>
      </c>
      <c r="K6" t="inlineStr">
        <is>
          <t>2026-05-02</t>
        </is>
      </c>
      <c r="L6" t="inlineStr">
        <is>
          <t>Follow-up 1 via WhatsApp if no reply</t>
        </is>
      </c>
      <c r="M6" t="inlineStr">
        <is>
          <t>2026-05-04</t>
        </is>
      </c>
      <c r="N6" t="inlineStr">
        <is>
          <t>Active</t>
        </is>
      </c>
      <c r="O6" t="inlineStr">
        <is>
          <t>User screenshot WhatsApp batch</t>
        </is>
      </c>
      <c r="P6" t="inlineStr">
        <is>
          <t>Separate lead-bank update; pipeline row mirrors contact status.</t>
        </is>
      </c>
    </row>
    <row r="7">
      <c r="A7" t="inlineStr">
        <is>
          <t>WA-CA-006</t>
        </is>
      </c>
      <c r="B7" t="inlineStr">
        <is>
          <t>Deepa Verma</t>
        </is>
      </c>
      <c r="C7" t="inlineStr">
        <is>
          <t>CA - DISA</t>
        </is>
      </c>
      <c r="D7" t="inlineStr">
        <is>
          <t>Verma Tax Advisory</t>
        </is>
      </c>
      <c r="E7" t="inlineStr">
        <is>
          <t>Pune</t>
        </is>
      </c>
      <c r="F7" t="inlineStr">
        <is>
          <t>91-9823456789</t>
        </is>
      </c>
      <c r="G7" t="inlineStr">
        <is>
          <t>deepa.verma@vermatax.in</t>
        </is>
      </c>
      <c r="H7" t="inlineStr">
        <is>
          <t>CA</t>
        </is>
      </c>
      <c r="I7" t="inlineStr">
        <is>
          <t>A</t>
        </is>
      </c>
      <c r="J7" t="inlineStr">
        <is>
          <t>Contacted</t>
        </is>
      </c>
      <c r="K7" t="inlineStr">
        <is>
          <t>2026-05-02</t>
        </is>
      </c>
      <c r="L7" t="inlineStr">
        <is>
          <t>Follow-up 1 via WhatsApp if no reply</t>
        </is>
      </c>
      <c r="M7" t="inlineStr">
        <is>
          <t>2026-05-04</t>
        </is>
      </c>
      <c r="N7" t="inlineStr">
        <is>
          <t>Active</t>
        </is>
      </c>
      <c r="O7" t="inlineStr">
        <is>
          <t>User screenshot WhatsApp batch</t>
        </is>
      </c>
      <c r="P7" t="inlineStr">
        <is>
          <t>Separate lead-bank update; pipeline row mirrors contact status.</t>
        </is>
      </c>
    </row>
    <row r="8">
      <c r="A8" t="inlineStr">
        <is>
          <t>WA-CA-007</t>
        </is>
      </c>
      <c r="B8" t="inlineStr">
        <is>
          <t>Arun Gupta</t>
        </is>
      </c>
      <c r="C8" t="inlineStr">
        <is>
          <t>Managing Partner</t>
        </is>
      </c>
      <c r="D8" t="inlineStr">
        <is>
          <t>Gupta &amp; Associates</t>
        </is>
      </c>
      <c r="E8" t="inlineStr">
        <is>
          <t>Hyderabad</t>
        </is>
      </c>
      <c r="F8" t="inlineStr">
        <is>
          <t>91-9848901234</t>
        </is>
      </c>
      <c r="G8" t="inlineStr">
        <is>
          <t>arun.gupta@guptaassoc.in</t>
        </is>
      </c>
      <c r="H8" t="inlineStr">
        <is>
          <t>CA</t>
        </is>
      </c>
      <c r="I8" t="inlineStr">
        <is>
          <t>A</t>
        </is>
      </c>
      <c r="J8" t="inlineStr">
        <is>
          <t>Contacted</t>
        </is>
      </c>
      <c r="K8" t="inlineStr">
        <is>
          <t>2026-05-02</t>
        </is>
      </c>
      <c r="L8" t="inlineStr">
        <is>
          <t>Follow-up 1 via WhatsApp if no reply</t>
        </is>
      </c>
      <c r="M8" t="inlineStr">
        <is>
          <t>2026-05-04</t>
        </is>
      </c>
      <c r="N8" t="inlineStr">
        <is>
          <t>Active</t>
        </is>
      </c>
      <c r="O8" t="inlineStr">
        <is>
          <t>User screenshot WhatsApp batch</t>
        </is>
      </c>
      <c r="P8" t="inlineStr">
        <is>
          <t>Separate lead-bank update; pipeline row mirrors contact status.</t>
        </is>
      </c>
    </row>
    <row r="9">
      <c r="A9" t="inlineStr">
        <is>
          <t>WA-CA-008</t>
        </is>
      </c>
      <c r="B9" t="inlineStr">
        <is>
          <t>Meera Krishnan</t>
        </is>
      </c>
      <c r="C9" t="inlineStr">
        <is>
          <t>Chartered Accountant</t>
        </is>
      </c>
      <c r="D9" t="inlineStr">
        <is>
          <t>MK Financial Advisors</t>
        </is>
      </c>
      <c r="E9" t="inlineStr">
        <is>
          <t>Kochi</t>
        </is>
      </c>
      <c r="F9" t="inlineStr">
        <is>
          <t>91-9846789012</t>
        </is>
      </c>
      <c r="G9" t="inlineStr">
        <is>
          <t>meera@mkfinancial.in</t>
        </is>
      </c>
      <c r="H9" t="inlineStr">
        <is>
          <t>CA</t>
        </is>
      </c>
      <c r="I9" t="inlineStr">
        <is>
          <t>A</t>
        </is>
      </c>
      <c r="J9" t="inlineStr">
        <is>
          <t>Contacted</t>
        </is>
      </c>
      <c r="K9" t="inlineStr">
        <is>
          <t>2026-05-02</t>
        </is>
      </c>
      <c r="L9" t="inlineStr">
        <is>
          <t>Follow-up 1 via WhatsApp if no reply</t>
        </is>
      </c>
      <c r="M9" t="inlineStr">
        <is>
          <t>2026-05-04</t>
        </is>
      </c>
      <c r="N9" t="inlineStr">
        <is>
          <t>Active</t>
        </is>
      </c>
      <c r="O9" t="inlineStr">
        <is>
          <t>User screenshot WhatsApp batch</t>
        </is>
      </c>
      <c r="P9" t="inlineStr">
        <is>
          <t>Separate lead-bank update; pipeline row mirrors contact status.</t>
        </is>
      </c>
    </row>
    <row r="10">
      <c r="A10" t="inlineStr">
        <is>
          <t>WA-CA-009</t>
        </is>
      </c>
      <c r="B10" t="inlineStr">
        <is>
          <t>Ravi Shankar</t>
        </is>
      </c>
      <c r="C10" t="inlineStr">
        <is>
          <t>CA Partner</t>
        </is>
      </c>
      <c r="D10" t="inlineStr">
        <is>
          <t>RS Chartered Accountants</t>
        </is>
      </c>
      <c r="E10" t="inlineStr">
        <is>
          <t>Jaipur</t>
        </is>
      </c>
      <c r="F10" t="inlineStr">
        <is>
          <t>91-9829012345</t>
        </is>
      </c>
      <c r="G10" t="inlineStr">
        <is>
          <t>ravi.shankar@rscharteredCA.in</t>
        </is>
      </c>
      <c r="H10" t="inlineStr">
        <is>
          <t>CA</t>
        </is>
      </c>
      <c r="I10" t="inlineStr">
        <is>
          <t>A</t>
        </is>
      </c>
      <c r="J10" t="inlineStr">
        <is>
          <t>Contacted</t>
        </is>
      </c>
      <c r="K10" t="inlineStr">
        <is>
          <t>2026-05-02</t>
        </is>
      </c>
      <c r="L10" t="inlineStr">
        <is>
          <t>Follow-up 1 via WhatsApp if no reply</t>
        </is>
      </c>
      <c r="M10" t="inlineStr">
        <is>
          <t>2026-05-04</t>
        </is>
      </c>
      <c r="N10" t="inlineStr">
        <is>
          <t>Active</t>
        </is>
      </c>
      <c r="O10" t="inlineStr">
        <is>
          <t>User screenshot WhatsApp batch</t>
        </is>
      </c>
      <c r="P10" t="inlineStr">
        <is>
          <t>Separate lead-bank update; pipeline row mirrors contact status.</t>
        </is>
      </c>
    </row>
    <row r="11">
      <c r="A11" t="inlineStr">
        <is>
          <t>WA-CA-010</t>
        </is>
      </c>
      <c r="B11" t="inlineStr">
        <is>
          <t>Nisha Patel</t>
        </is>
      </c>
      <c r="C11" t="inlineStr">
        <is>
          <t>Senior CA</t>
        </is>
      </c>
      <c r="D11" t="inlineStr">
        <is>
          <t>NP Tax Solutions</t>
        </is>
      </c>
      <c r="E11" t="inlineStr">
        <is>
          <t>Surat</t>
        </is>
      </c>
      <c r="F11" t="inlineStr">
        <is>
          <t>91-9825678901</t>
        </is>
      </c>
      <c r="G11" t="inlineStr">
        <is>
          <t>nisha.patel@nptaxsolutions.com</t>
        </is>
      </c>
      <c r="H11" t="inlineStr">
        <is>
          <t>CA</t>
        </is>
      </c>
      <c r="I11" t="inlineStr">
        <is>
          <t>A</t>
        </is>
      </c>
      <c r="J11" t="inlineStr">
        <is>
          <t>Contacted</t>
        </is>
      </c>
      <c r="K11" t="inlineStr">
        <is>
          <t>2026-05-02</t>
        </is>
      </c>
      <c r="L11" t="inlineStr">
        <is>
          <t>Follow-up 1 via WhatsApp if no reply</t>
        </is>
      </c>
      <c r="M11" t="inlineStr">
        <is>
          <t>2026-05-04</t>
        </is>
      </c>
      <c r="N11" t="inlineStr">
        <is>
          <t>Active</t>
        </is>
      </c>
      <c r="O11" t="inlineStr">
        <is>
          <t>User screenshot WhatsApp batch</t>
        </is>
      </c>
      <c r="P11" t="inlineStr">
        <is>
          <t>Separate lead-bank update; pipeline row mirrors contact status.</t>
        </is>
      </c>
    </row>
    <row r="12">
      <c r="A12" t="inlineStr">
        <is>
          <t>WA-BIZ-001</t>
        </is>
      </c>
      <c r="B12" t="inlineStr">
        <is>
          <t>Ramesh Agarwal</t>
        </is>
      </c>
      <c r="C12" t="inlineStr">
        <is>
          <t>Director</t>
        </is>
      </c>
      <c r="D12" t="inlineStr">
        <is>
          <t>Agarwal Traders Pvt Ltd</t>
        </is>
      </c>
      <c r="E12" t="inlineStr">
        <is>
          <t>Indore</t>
        </is>
      </c>
      <c r="F12" t="inlineStr">
        <is>
          <t>91-9826789012</t>
        </is>
      </c>
      <c r="G12" t="inlineStr">
        <is>
          <t>ramesh@agarwaltraders.in</t>
        </is>
      </c>
      <c r="H12" t="inlineStr">
        <is>
          <t>Business</t>
        </is>
      </c>
      <c r="I12" t="inlineStr">
        <is>
          <t>B</t>
        </is>
      </c>
      <c r="J12" t="inlineStr">
        <is>
          <t>Contacted</t>
        </is>
      </c>
      <c r="K12" t="inlineStr">
        <is>
          <t>2026-05-02</t>
        </is>
      </c>
      <c r="L12" t="inlineStr">
        <is>
          <t>Follow-up 1 via WhatsApp if no reply</t>
        </is>
      </c>
      <c r="M12" t="inlineStr">
        <is>
          <t>2026-05-04</t>
        </is>
      </c>
      <c r="N12" t="inlineStr">
        <is>
          <t>Active</t>
        </is>
      </c>
      <c r="O12" t="inlineStr">
        <is>
          <t>User screenshot WhatsApp batch</t>
        </is>
      </c>
      <c r="P12" t="inlineStr">
        <is>
          <t>Separate lead-bank update; pipeline row mirrors contact status.</t>
        </is>
      </c>
    </row>
    <row r="13">
      <c r="A13" t="inlineStr">
        <is>
          <t>WA-BIZ-002</t>
        </is>
      </c>
      <c r="B13" t="inlineStr">
        <is>
          <t>Hiren Shah</t>
        </is>
      </c>
      <c r="C13" t="inlineStr">
        <is>
          <t>Managing Director</t>
        </is>
      </c>
      <c r="D13" t="inlineStr">
        <is>
          <t>Shah Electronics Pvt Ltd</t>
        </is>
      </c>
      <c r="E13" t="inlineStr">
        <is>
          <t>Rajkot</t>
        </is>
      </c>
      <c r="F13" t="inlineStr">
        <is>
          <t>91-9824123456</t>
        </is>
      </c>
      <c r="G13" t="inlineStr">
        <is>
          <t>hiren.shah@shahelectronics.in</t>
        </is>
      </c>
      <c r="H13" t="inlineStr">
        <is>
          <t>Business</t>
        </is>
      </c>
      <c r="I13" t="inlineStr">
        <is>
          <t>B</t>
        </is>
      </c>
      <c r="J13" t="inlineStr">
        <is>
          <t>Contacted</t>
        </is>
      </c>
      <c r="K13" t="inlineStr">
        <is>
          <t>2026-05-02</t>
        </is>
      </c>
      <c r="L13" t="inlineStr">
        <is>
          <t>Follow-up 1 via WhatsApp if no reply</t>
        </is>
      </c>
      <c r="M13" t="inlineStr">
        <is>
          <t>2026-05-04</t>
        </is>
      </c>
      <c r="N13" t="inlineStr">
        <is>
          <t>Active</t>
        </is>
      </c>
      <c r="O13" t="inlineStr">
        <is>
          <t>User screenshot WhatsApp batch</t>
        </is>
      </c>
      <c r="P13" t="inlineStr">
        <is>
          <t>Separate lead-bank update; pipeline row mirrors contact status.</t>
        </is>
      </c>
    </row>
    <row r="14">
      <c r="A14" t="inlineStr">
        <is>
          <t>WA-BIZ-003</t>
        </is>
      </c>
      <c r="B14" t="inlineStr">
        <is>
          <t>Kavita Singh</t>
        </is>
      </c>
      <c r="C14" t="inlineStr">
        <is>
          <t>CEO</t>
        </is>
      </c>
      <c r="D14" t="inlineStr">
        <is>
          <t>KS Logistics Solutions</t>
        </is>
      </c>
      <c r="E14" t="inlineStr">
        <is>
          <t>Nagpur</t>
        </is>
      </c>
      <c r="F14" t="inlineStr">
        <is>
          <t>91-9823901234</t>
        </is>
      </c>
      <c r="G14" t="inlineStr">
        <is>
          <t>kavita@kslogistics.in</t>
        </is>
      </c>
      <c r="H14" t="inlineStr">
        <is>
          <t>Business</t>
        </is>
      </c>
      <c r="I14" t="inlineStr">
        <is>
          <t>B</t>
        </is>
      </c>
      <c r="J14" t="inlineStr">
        <is>
          <t>Contacted</t>
        </is>
      </c>
      <c r="K14" t="inlineStr">
        <is>
          <t>2026-05-02</t>
        </is>
      </c>
      <c r="L14" t="inlineStr">
        <is>
          <t>Follow-up 1 via WhatsApp if no reply</t>
        </is>
      </c>
      <c r="M14" t="inlineStr">
        <is>
          <t>2026-05-04</t>
        </is>
      </c>
      <c r="N14" t="inlineStr">
        <is>
          <t>Active</t>
        </is>
      </c>
      <c r="O14" t="inlineStr">
        <is>
          <t>User screenshot WhatsApp batch</t>
        </is>
      </c>
      <c r="P14" t="inlineStr">
        <is>
          <t>Separate lead-bank update; pipeline row mirrors contact status.</t>
        </is>
      </c>
    </row>
    <row r="15">
      <c r="A15" t="inlineStr">
        <is>
          <t>WA-BIZ-004</t>
        </is>
      </c>
      <c r="B15" t="inlineStr">
        <is>
          <t>Prakash Reddy</t>
        </is>
      </c>
      <c r="C15" t="inlineStr">
        <is>
          <t>Founder</t>
        </is>
      </c>
      <c r="D15" t="inlineStr">
        <is>
          <t>Reddy Agro Exports</t>
        </is>
      </c>
      <c r="E15" t="inlineStr">
        <is>
          <t>Vijayawada</t>
        </is>
      </c>
      <c r="F15" t="inlineStr">
        <is>
          <t>91-9848234567</t>
        </is>
      </c>
      <c r="G15" t="inlineStr">
        <is>
          <t>prakash@reddyagroexports.com</t>
        </is>
      </c>
      <c r="H15" t="inlineStr">
        <is>
          <t>Business</t>
        </is>
      </c>
      <c r="I15" t="inlineStr">
        <is>
          <t>B</t>
        </is>
      </c>
      <c r="J15" t="inlineStr">
        <is>
          <t>Contacted</t>
        </is>
      </c>
      <c r="K15" t="inlineStr">
        <is>
          <t>2026-05-02</t>
        </is>
      </c>
      <c r="L15" t="inlineStr">
        <is>
          <t>Follow-up 1 via WhatsApp if no reply</t>
        </is>
      </c>
      <c r="M15" t="inlineStr">
        <is>
          <t>2026-05-04</t>
        </is>
      </c>
      <c r="N15" t="inlineStr">
        <is>
          <t>Active</t>
        </is>
      </c>
      <c r="O15" t="inlineStr">
        <is>
          <t>User screenshot WhatsApp batch</t>
        </is>
      </c>
      <c r="P15" t="inlineStr">
        <is>
          <t>Separate lead-bank update; pipeline row mirrors contact status.</t>
        </is>
      </c>
    </row>
    <row r="16">
      <c r="A16" t="inlineStr">
        <is>
          <t>WA-BIZ-005</t>
        </is>
      </c>
      <c r="B16" t="inlineStr">
        <is>
          <t>Sunita Joshi</t>
        </is>
      </c>
      <c r="C16" t="inlineStr">
        <is>
          <t>Proprietor</t>
        </is>
      </c>
      <c r="D16" t="inlineStr">
        <is>
          <t>Joshi Pharmaceuticals</t>
        </is>
      </c>
      <c r="E16" t="inlineStr">
        <is>
          <t>Nashik</t>
        </is>
      </c>
      <c r="F16" t="inlineStr">
        <is>
          <t>91-9821345678</t>
        </is>
      </c>
      <c r="G16" t="inlineStr">
        <is>
          <t>sunita@joshipharma.in</t>
        </is>
      </c>
      <c r="H16" t="inlineStr">
        <is>
          <t>Business</t>
        </is>
      </c>
      <c r="I16" t="inlineStr">
        <is>
          <t>B</t>
        </is>
      </c>
      <c r="J16" t="inlineStr">
        <is>
          <t>Contacted</t>
        </is>
      </c>
      <c r="K16" t="inlineStr">
        <is>
          <t>2026-05-02</t>
        </is>
      </c>
      <c r="L16" t="inlineStr">
        <is>
          <t>Follow-up 1 via WhatsApp if no reply</t>
        </is>
      </c>
      <c r="M16" t="inlineStr">
        <is>
          <t>2026-05-04</t>
        </is>
      </c>
      <c r="N16" t="inlineStr">
        <is>
          <t>Active</t>
        </is>
      </c>
      <c r="O16" t="inlineStr">
        <is>
          <t>User screenshot WhatsApp batch</t>
        </is>
      </c>
      <c r="P16" t="inlineStr">
        <is>
          <t>Separate lead-bank update; pipeline row mirrors contact status.</t>
        </is>
      </c>
    </row>
    <row r="17">
      <c r="A17" t="inlineStr">
        <is>
          <t>WA-BIZ-006</t>
        </is>
      </c>
      <c r="B17" t="inlineStr">
        <is>
          <t>Ashok Tiwari</t>
        </is>
      </c>
      <c r="C17" t="inlineStr">
        <is>
          <t>Managing Partner</t>
        </is>
      </c>
      <c r="D17" t="inlineStr">
        <is>
          <t>Tiwari Construction Group</t>
        </is>
      </c>
      <c r="E17" t="inlineStr">
        <is>
          <t>Bhopal</t>
        </is>
      </c>
      <c r="F17" t="inlineStr">
        <is>
          <t>91-9827890123</t>
        </is>
      </c>
      <c r="G17" t="inlineStr">
        <is>
          <t>ashok.tiwari@tiwariconstructions.in</t>
        </is>
      </c>
      <c r="H17" t="inlineStr">
        <is>
          <t>Business</t>
        </is>
      </c>
      <c r="I17" t="inlineStr">
        <is>
          <t>B</t>
        </is>
      </c>
      <c r="J17" t="inlineStr">
        <is>
          <t>Contacted</t>
        </is>
      </c>
      <c r="K17" t="inlineStr">
        <is>
          <t>2026-05-02</t>
        </is>
      </c>
      <c r="L17" t="inlineStr">
        <is>
          <t>Follow-up 1 via WhatsApp if no reply</t>
        </is>
      </c>
      <c r="M17" t="inlineStr">
        <is>
          <t>2026-05-04</t>
        </is>
      </c>
      <c r="N17" t="inlineStr">
        <is>
          <t>Active</t>
        </is>
      </c>
      <c r="O17" t="inlineStr">
        <is>
          <t>User screenshot WhatsApp batch</t>
        </is>
      </c>
      <c r="P17" t="inlineStr">
        <is>
          <t>Separate lead-bank update; pipeline row mirrors contact status.</t>
        </is>
      </c>
    </row>
    <row r="18">
      <c r="A18" t="inlineStr">
        <is>
          <t>WA-BIZ-007</t>
        </is>
      </c>
      <c r="B18" t="inlineStr">
        <is>
          <t>Fatima Merchant</t>
        </is>
      </c>
      <c r="C18" t="inlineStr">
        <is>
          <t>Director</t>
        </is>
      </c>
      <c r="D18" t="inlineStr">
        <is>
          <t>Merchant Textiles Ltd</t>
        </is>
      </c>
      <c r="E18" t="inlineStr">
        <is>
          <t>Surat</t>
        </is>
      </c>
      <c r="F18" t="inlineStr">
        <is>
          <t>91-9825901234</t>
        </is>
      </c>
      <c r="G18" t="inlineStr">
        <is>
          <t>fatima@merchanttextiles.in</t>
        </is>
      </c>
      <c r="H18" t="inlineStr">
        <is>
          <t>Business</t>
        </is>
      </c>
      <c r="I18" t="inlineStr">
        <is>
          <t>B</t>
        </is>
      </c>
      <c r="J18" t="inlineStr">
        <is>
          <t>Contacted</t>
        </is>
      </c>
      <c r="K18" t="inlineStr">
        <is>
          <t>2026-05-02</t>
        </is>
      </c>
      <c r="L18" t="inlineStr">
        <is>
          <t>Follow-up 1 via WhatsApp if no reply</t>
        </is>
      </c>
      <c r="M18" t="inlineStr">
        <is>
          <t>2026-05-04</t>
        </is>
      </c>
      <c r="N18" t="inlineStr">
        <is>
          <t>Active</t>
        </is>
      </c>
      <c r="O18" t="inlineStr">
        <is>
          <t>User screenshot WhatsApp batch</t>
        </is>
      </c>
      <c r="P18" t="inlineStr">
        <is>
          <t>Separate lead-bank update; pipeline row mirrors contact status.</t>
        </is>
      </c>
    </row>
    <row r="19">
      <c r="A19" t="inlineStr">
        <is>
          <t>WA-BIZ-008</t>
        </is>
      </c>
      <c r="B19" t="inlineStr">
        <is>
          <t>Kiran Babu</t>
        </is>
      </c>
      <c r="C19" t="inlineStr">
        <is>
          <t>Chairman</t>
        </is>
      </c>
      <c r="D19" t="inlineStr">
        <is>
          <t>Babu Industries Ltd</t>
        </is>
      </c>
      <c r="E19" t="inlineStr">
        <is>
          <t>Coimbatore</t>
        </is>
      </c>
      <c r="F19" t="inlineStr">
        <is>
          <t>91-9843567890</t>
        </is>
      </c>
      <c r="G19" t="inlineStr">
        <is>
          <t>kiran.babu@babuindustries.in</t>
        </is>
      </c>
      <c r="H19" t="inlineStr">
        <is>
          <t>Business</t>
        </is>
      </c>
      <c r="I19" t="inlineStr">
        <is>
          <t>B</t>
        </is>
      </c>
      <c r="J19" t="inlineStr">
        <is>
          <t>Contacted</t>
        </is>
      </c>
      <c r="K19" t="inlineStr">
        <is>
          <t>2026-05-02</t>
        </is>
      </c>
      <c r="L19" t="inlineStr">
        <is>
          <t>Follow-up 1 via WhatsApp if no reply</t>
        </is>
      </c>
      <c r="M19" t="inlineStr">
        <is>
          <t>2026-05-04</t>
        </is>
      </c>
      <c r="N19" t="inlineStr">
        <is>
          <t>Active</t>
        </is>
      </c>
      <c r="O19" t="inlineStr">
        <is>
          <t>User screenshot WhatsApp batch</t>
        </is>
      </c>
      <c r="P19" t="inlineStr">
        <is>
          <t>Separate lead-bank update; pipeline row mirrors contact status.</t>
        </is>
      </c>
    </row>
    <row r="20">
      <c r="A20" t="inlineStr">
        <is>
          <t>WA-BIZ-009</t>
        </is>
      </c>
      <c r="B20" t="inlineStr">
        <is>
          <t>Manish Khanna</t>
        </is>
      </c>
      <c r="C20" t="inlineStr">
        <is>
          <t>Founder &amp; CEO</t>
        </is>
      </c>
      <c r="D20" t="inlineStr">
        <is>
          <t>Khanna Real Estate Developers</t>
        </is>
      </c>
      <c r="E20" t="inlineStr">
        <is>
          <t>Chandigarh</t>
        </is>
      </c>
      <c r="F20" t="inlineStr">
        <is>
          <t>91-9814678901</t>
        </is>
      </c>
      <c r="G20" t="inlineStr">
        <is>
          <t>manish@khannaestates.in</t>
        </is>
      </c>
      <c r="H20" t="inlineStr">
        <is>
          <t>Business</t>
        </is>
      </c>
      <c r="I20" t="inlineStr">
        <is>
          <t>B</t>
        </is>
      </c>
      <c r="J20" t="inlineStr">
        <is>
          <t>Contacted</t>
        </is>
      </c>
      <c r="K20" t="inlineStr">
        <is>
          <t>2026-05-02</t>
        </is>
      </c>
      <c r="L20" t="inlineStr">
        <is>
          <t>Follow-up 1 via WhatsApp if no reply</t>
        </is>
      </c>
      <c r="M20" t="inlineStr">
        <is>
          <t>2026-05-04</t>
        </is>
      </c>
      <c r="N20" t="inlineStr">
        <is>
          <t>Active</t>
        </is>
      </c>
      <c r="O20" t="inlineStr">
        <is>
          <t>User screenshot WhatsApp batch</t>
        </is>
      </c>
      <c r="P20" t="inlineStr">
        <is>
          <t>Separate lead-bank update; pipeline row mirrors contact status.</t>
        </is>
      </c>
    </row>
    <row r="21">
      <c r="A21" t="inlineStr">
        <is>
          <t>WA-BIZ-010</t>
        </is>
      </c>
      <c r="B21" t="inlineStr">
        <is>
          <t>Geeta Pandey</t>
        </is>
      </c>
      <c r="C21" t="inlineStr">
        <is>
          <t>Director</t>
        </is>
      </c>
      <c r="D21" t="inlineStr">
        <is>
          <t>Pandey Food Processing</t>
        </is>
      </c>
      <c r="E21" t="inlineStr">
        <is>
          <t>Lucknow</t>
        </is>
      </c>
      <c r="F21" t="inlineStr">
        <is>
          <t>91-9812345678</t>
        </is>
      </c>
      <c r="G21" t="inlineStr">
        <is>
          <t>geeta.pandey@pandeyfoods.in</t>
        </is>
      </c>
      <c r="H21" t="inlineStr">
        <is>
          <t>Business</t>
        </is>
      </c>
      <c r="I21" t="inlineStr">
        <is>
          <t>B</t>
        </is>
      </c>
      <c r="J21" t="inlineStr">
        <is>
          <t>Contacted</t>
        </is>
      </c>
      <c r="K21" t="inlineStr">
        <is>
          <t>2026-05-02</t>
        </is>
      </c>
      <c r="L21" t="inlineStr">
        <is>
          <t>Follow-up 1 via WhatsApp if no reply</t>
        </is>
      </c>
      <c r="M21" t="inlineStr">
        <is>
          <t>2026-05-04</t>
        </is>
      </c>
      <c r="N21" t="inlineStr">
        <is>
          <t>Active</t>
        </is>
      </c>
      <c r="O21" t="inlineStr">
        <is>
          <t>User screenshot WhatsApp batch</t>
        </is>
      </c>
      <c r="P21" t="inlineStr">
        <is>
          <t>Separate lead-bank update; pipeline row mirrors contact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2026-05-02T13:02:02Z</dcterms:modified>
</cp:coreProperties>
</file>