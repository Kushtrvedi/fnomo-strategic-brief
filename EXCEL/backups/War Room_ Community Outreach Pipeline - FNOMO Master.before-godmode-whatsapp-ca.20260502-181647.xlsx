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utreach_Database" sheetId="1" state="visible" r:id="rId1"/>
    <sheet xmlns:r="http://schemas.openxmlformats.org/officeDocument/2006/relationships" name="GTM_Schedule" sheetId="2" state="visible" r:id="rId2"/>
    <sheet xmlns:r="http://schemas.openxmlformats.org/officeDocument/2006/relationships" name="Calc_Engine" sheetId="3" state="visible" r:id="rId3"/>
    <sheet xmlns:r="http://schemas.openxmlformats.org/officeDocument/2006/relationships" name="Dashboard" sheetId="4" state="visible" r:id="rId4"/>
    <sheet xmlns:r="http://schemas.openxmlformats.org/officeDocument/2006/relationships" name="Influencer Hit List" sheetId="5" state="visible" r:id="rId5"/>
    <sheet xmlns:r="http://schemas.openxmlformats.org/officeDocument/2006/relationships" name="Referral &amp; Revenue Tracker" sheetId="6" state="visible" r:id="rId6"/>
    <sheet xmlns:r="http://schemas.openxmlformats.org/officeDocument/2006/relationships" name="Social Proof Repository" sheetId="7" state="visible" r:id="rId7"/>
    <sheet xmlns:r="http://schemas.openxmlformats.org/officeDocument/2006/relationships" name="Corporate Pilot Outreach" sheetId="8" state="visible" r:id="rId8"/>
    <sheet xmlns:r="http://schemas.openxmlformats.org/officeDocument/2006/relationships" name="Telegram_War_Room" sheetId="9" state="visible" r:id="rId9"/>
    <sheet xmlns:r="http://schemas.openxmlformats.org/officeDocument/2006/relationships" name="Reddit_War_Room" sheetId="10" state="visible" r:id="rId10"/>
    <sheet xmlns:r="http://schemas.openxmlformats.org/officeDocument/2006/relationships" name="Institutional School Outreach" sheetId="11" state="visible" r:id="rId11"/>
    <sheet xmlns:r="http://schemas.openxmlformats.org/officeDocument/2006/relationships" name="influential_data_for _corporate" sheetId="12" state="visible" r:id="rId12"/>
    <sheet xmlns:r="http://schemas.openxmlformats.org/officeDocument/2006/relationships" name="To do" sheetId="13" state="visible" r:id="rId13"/>
    <sheet xmlns:r="http://schemas.openxmlformats.org/officeDocument/2006/relationships" name="FNOMO_MASTER_PIPELINE" sheetId="14" state="visible" r:id="rId14"/>
    <sheet xmlns:r="http://schemas.openxmlformats.org/officeDocument/2006/relationships" name="FNOMO_TASK_MAP" sheetId="15" state="visible" r:id="rId15"/>
    <sheet xmlns:r="http://schemas.openxmlformats.org/officeDocument/2006/relationships" name="FNOMO_EXECUTION_LOG" sheetId="16" state="visible" r:id="rId16"/>
    <sheet xmlns:r="http://schemas.openxmlformats.org/officeDocument/2006/relationships" name="FNOMO_EXECUTION_TASKS" sheetId="17" state="visible" r:id="rId17"/>
    <sheet xmlns:r="http://schemas.openxmlformats.org/officeDocument/2006/relationships" name="FNOMO_OUTREACH_READY" sheetId="18" state="visible" r:id="rId18"/>
    <sheet xmlns:r="http://schemas.openxmlformats.org/officeDocument/2006/relationships" name="FNOMO_EXECUTION_HISTORY" sheetId="19" state="visible" r:id="rId19"/>
  </sheets>
  <definedNames>
    <definedName name="_xlnm._FilterDatabase" localSheetId="1"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47">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s>
  <fills count="73">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s>
  <borders count="28">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s>
  <cellStyleXfs count="2">
    <xf numFmtId="0" fontId="26" fillId="0" borderId="0"/>
    <xf numFmtId="0" fontId="22" fillId="0" borderId="0"/>
  </cellStyleXfs>
  <cellXfs count="261">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34" t="inlineStr">
        <is>
          <t>FNOMO CRM EXECUTION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GTM_Schedule. Update task status, owner, or priority there and this dashboard becomes the daily view for Kush and Indu.</t>
        </is>
      </c>
      <c r="S3" s="32" t="n"/>
      <c r="T3" s="32" t="n"/>
      <c r="U3" s="32" t="n"/>
      <c r="V3" s="32" t="n"/>
      <c r="W3" s="32" t="n"/>
      <c r="X3" s="32" t="inlineStr">
        <is>
          <t>In Progress</t>
        </is>
      </c>
      <c r="Y3" s="32" t="inlineStr">
        <is>
          <t>Indu</t>
        </is>
      </c>
      <c r="Z3" s="32" t="inlineStr">
        <is>
          <t>Medium</t>
        </is>
      </c>
    </row>
    <row r="4" ht="15.75" customHeight="1" s="80">
      <c r="A4" s="32" t="n"/>
      <c r="B4" s="218" t="inlineStr">
        <is>
          <t>Overall Progress</t>
        </is>
      </c>
      <c r="C4" s="201" t="n"/>
      <c r="D4" s="201" t="n"/>
      <c r="E4" s="201" t="n"/>
      <c r="F4" s="218" t="inlineStr">
        <is>
          <t>Active Tasks</t>
        </is>
      </c>
      <c r="G4" s="201" t="n"/>
      <c r="H4" s="201" t="n"/>
      <c r="I4" s="201" t="n"/>
      <c r="J4" s="218" t="inlineStr">
        <is>
          <t>Completed</t>
        </is>
      </c>
      <c r="K4" s="201" t="n"/>
      <c r="L4" s="201" t="n"/>
      <c r="M4" s="201" t="n"/>
      <c r="N4" s="218" t="inlineStr">
        <is>
          <t>Needs Attention</t>
        </is>
      </c>
      <c r="O4" s="201" t="n"/>
      <c r="P4" s="201" t="n"/>
      <c r="Q4" s="201" t="n"/>
      <c r="R4" s="201" t="n"/>
      <c r="S4" s="32" t="n"/>
      <c r="T4" s="32" t="n"/>
      <c r="U4" s="32" t="n"/>
      <c r="V4" s="32" t="n"/>
      <c r="W4" s="32" t="n"/>
      <c r="X4" s="32" t="inlineStr">
        <is>
          <t>Waiting</t>
        </is>
      </c>
      <c r="Y4" s="32" t="inlineStr">
        <is>
          <t>Codex</t>
        </is>
      </c>
      <c r="Z4" s="32" t="inlineStr">
        <is>
          <t>Low</t>
        </is>
      </c>
    </row>
    <row r="5" ht="15.75" customHeight="1" s="80">
      <c r="A5" s="32" t="n"/>
      <c r="B5" s="236">
        <f>IFERROR(AVERAGE(GTM_Schedule!$J$5:$J$40),0)</f>
        <v/>
      </c>
      <c r="C5" s="252" t="n"/>
      <c r="D5" s="252" t="n"/>
      <c r="E5" s="253" t="n"/>
      <c r="F5" s="237">
        <f>COUNTA(GTM_Schedule!$D$5:$D$40)-COUNTIF(GTM_Schedule!$G$5:$G$40,"Done")</f>
        <v/>
      </c>
      <c r="G5" s="252" t="n"/>
      <c r="H5" s="252" t="n"/>
      <c r="I5" s="253" t="n"/>
      <c r="J5" s="238">
        <f>COUNTIF(GTM_Schedule!$G$5:$G$40,"Done")</f>
        <v/>
      </c>
      <c r="K5" s="252" t="n"/>
      <c r="L5" s="252" t="n"/>
      <c r="M5" s="253" t="n"/>
      <c r="N5" s="239">
        <f>COUNTIF(GTM_Schedule!$G$5:$G$40,"Blocked")+COUNTIF(GTM_Schedule!$G$5:$G$40,"Waiting")</f>
        <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18" t="inlineStr">
        <is>
          <t>In Progress</t>
        </is>
      </c>
      <c r="C9" s="201" t="n"/>
      <c r="D9" s="201" t="n"/>
      <c r="E9" s="201" t="n"/>
      <c r="F9" s="218" t="inlineStr">
        <is>
          <t>Waiting</t>
        </is>
      </c>
      <c r="G9" s="201" t="n"/>
      <c r="H9" s="201" t="n"/>
      <c r="I9" s="201" t="n"/>
      <c r="J9" s="218" t="inlineStr">
        <is>
          <t>Blocked</t>
        </is>
      </c>
      <c r="K9" s="201" t="n"/>
      <c r="L9" s="201" t="n"/>
      <c r="M9" s="201" t="n"/>
      <c r="N9" s="218" t="inlineStr">
        <is>
          <t>High Priority Open</t>
        </is>
      </c>
      <c r="O9" s="201" t="n"/>
      <c r="P9" s="201" t="n"/>
      <c r="Q9" s="201" t="n"/>
      <c r="R9" s="201" t="n"/>
      <c r="S9" s="32" t="n"/>
      <c r="T9" s="32" t="n"/>
      <c r="U9" s="32" t="n"/>
      <c r="V9" s="32" t="n"/>
      <c r="W9" s="32" t="n"/>
      <c r="X9" s="32" t="n"/>
      <c r="Y9" s="32" t="n"/>
      <c r="Z9" s="32" t="n"/>
    </row>
    <row r="10" ht="15.75" customHeight="1" s="80">
      <c r="A10" s="32" t="n"/>
      <c r="B10" s="240">
        <f>COUNTIF(GTM_Schedule!$G$5:$G$40,"In Progress")</f>
        <v/>
      </c>
      <c r="C10" s="252" t="n"/>
      <c r="D10" s="253" t="n"/>
      <c r="E10" s="201" t="n"/>
      <c r="F10" s="241">
        <f>COUNTIF(GTM_Schedule!$G$5:$G$40,"Waiting")</f>
        <v/>
      </c>
      <c r="G10" s="252" t="n"/>
      <c r="H10" s="253" t="n"/>
      <c r="I10" s="201" t="n"/>
      <c r="J10" s="242">
        <f>COUNTIF(GTM_Schedule!$G$5:$G$40,"Blocked")</f>
        <v/>
      </c>
      <c r="K10" s="252" t="n"/>
      <c r="L10" s="253" t="n"/>
      <c r="M10" s="201" t="n"/>
      <c r="N10" s="243">
        <f>COUNTIFS(GTM_Schedule!$I$5:$I$40,"High",GTM_Schedule!$G$5:$G$40,"&lt;&gt;Done")</f>
        <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2.5"/>
  <cols>
    <col width="40.36328125" customWidth="1" style="80" min="1" max="1"/>
  </cols>
  <sheetData>
    <row r="1" ht="44" customHeight="1" s="80">
      <c r="A1" s="82" t="inlineStr">
        <is>
          <t>Name</t>
        </is>
      </c>
      <c r="B1" s="82" t="inlineStr">
        <is>
          <t>Title</t>
        </is>
      </c>
      <c r="C1" s="82" t="inlineStr">
        <is>
          <t>linkedin</t>
        </is>
      </c>
      <c r="D1" s="83" t="inlineStr">
        <is>
          <t>prospect_company_name</t>
        </is>
      </c>
      <c r="E1" s="82" t="inlineStr">
        <is>
          <t>company website</t>
        </is>
      </c>
      <c r="F1" s="82" t="inlineStr">
        <is>
          <t>linkedin</t>
        </is>
      </c>
      <c r="G1" s="82" t="inlineStr">
        <is>
          <t>Email</t>
        </is>
      </c>
      <c r="H1" s="82" t="inlineStr">
        <is>
          <t>mobile phone</t>
        </is>
      </c>
    </row>
    <row r="2" ht="101.5" customHeight="1" s="80">
      <c r="A2" s="84" t="inlineStr">
        <is>
          <t>Ujwal Kumar</t>
        </is>
      </c>
      <c r="B2" s="84" t="inlineStr">
        <is>
          <t>Director supply chain operations</t>
        </is>
      </c>
      <c r="C2" s="85" t="inlineStr">
        <is>
          <t>linkedin.com/in/ACoAAAdGMZsBVa_ZxjzuRnsaZZG1yQY0jeo-tL4</t>
        </is>
      </c>
      <c r="D2" s="84" t="inlineStr">
        <is>
          <t>Zomato</t>
        </is>
      </c>
      <c r="E2" s="86" t="inlineStr">
        <is>
          <t>zomato.com</t>
        </is>
      </c>
      <c r="F2" s="86" t="inlineStr">
        <is>
          <t>linkedin.com/company/zomato</t>
        </is>
      </c>
      <c r="G2" s="87" t="n"/>
      <c r="H2" s="87" t="n"/>
    </row>
    <row r="3" ht="89" customHeight="1" s="80">
      <c r="A3" s="84" t="inlineStr">
        <is>
          <t>Abhimanyu Goyal</t>
        </is>
      </c>
      <c r="B3" s="84" t="inlineStr">
        <is>
          <t>Cluster logs leader / chief operating officer</t>
        </is>
      </c>
      <c r="C3" s="85" t="inlineStr">
        <is>
          <t>linkedin.com/in/ACoAACcL4ysBxztc1XDYyDzZKieXn66hIH-Bx84</t>
        </is>
      </c>
      <c r="D3" s="84" t="inlineStr">
        <is>
          <t>Zomato</t>
        </is>
      </c>
      <c r="E3" s="86" t="inlineStr">
        <is>
          <t>zomato.com</t>
        </is>
      </c>
      <c r="F3" s="86" t="inlineStr">
        <is>
          <t>linkedin.com/company/zomato</t>
        </is>
      </c>
      <c r="G3" s="84" t="inlineStr">
        <is>
          <t>abhimanyu.goyal@zomato.com</t>
        </is>
      </c>
      <c r="H3" s="87" t="n"/>
    </row>
    <row r="4" ht="101.5" customHeight="1" s="80">
      <c r="A4" s="84" t="inlineStr">
        <is>
          <t>Dushyant Chaturvedi</t>
        </is>
      </c>
      <c r="B4" s="84" t="inlineStr">
        <is>
          <t>Head of business &amp; operations, b2b</t>
        </is>
      </c>
      <c r="C4" s="85" t="inlineStr">
        <is>
          <t>linkedin.com/in/ACoAAAnqTjMBVls-pr0iMPV0pdcMwMxMKb-G85c</t>
        </is>
      </c>
      <c r="D4" s="84" t="inlineStr">
        <is>
          <t>Internshala</t>
        </is>
      </c>
      <c r="E4" s="86" t="inlineStr">
        <is>
          <t>internshala.com</t>
        </is>
      </c>
      <c r="F4" s="86" t="inlineStr">
        <is>
          <t>linkedin.com/company/internshala</t>
        </is>
      </c>
      <c r="G4" s="84" t="inlineStr">
        <is>
          <t>dushyant.chaturvedi@internshala.com</t>
        </is>
      </c>
      <c r="H4" s="87" t="n"/>
    </row>
    <row r="5" ht="101.5" customHeight="1" s="80">
      <c r="A5" s="84" t="inlineStr">
        <is>
          <t>Seetesh Srivastava Igbc ApÂ®, Mrics</t>
        </is>
      </c>
      <c r="B5" s="84" t="inlineStr">
        <is>
          <t>Director of administration &amp; operations support</t>
        </is>
      </c>
      <c r="C5" s="85" t="inlineStr">
        <is>
          <t>linkedin.com/in/ACoAAAKGUaAB2gcDBsF6wutpfzsqg57BQ0KtKWQ</t>
        </is>
      </c>
      <c r="D5" s="84" t="inlineStr">
        <is>
          <t>Blinkit</t>
        </is>
      </c>
      <c r="E5" s="86" t="inlineStr">
        <is>
          <t>blinkit.com</t>
        </is>
      </c>
      <c r="F5" s="86" t="inlineStr">
        <is>
          <t>linkedin.com/company/letsblinkit</t>
        </is>
      </c>
      <c r="G5" s="87" t="n"/>
      <c r="H5" s="87" t="n"/>
    </row>
    <row r="6" ht="89" customHeight="1" s="80">
      <c r="A6" s="88" t="inlineStr">
        <is>
          <t>Rishabh Pandey</t>
        </is>
      </c>
      <c r="B6" s="84" t="inlineStr">
        <is>
          <t>Director operations</t>
        </is>
      </c>
      <c r="C6" s="85" t="inlineStr">
        <is>
          <t>linkedin.com/in/ACoAAAGtJgYBzg2y-xJdFVmcSEWHIUJufv-gAYY</t>
        </is>
      </c>
      <c r="D6" s="84" t="inlineStr">
        <is>
          <t>Blinkit</t>
        </is>
      </c>
      <c r="E6" s="86" t="inlineStr">
        <is>
          <t>blinkit.com</t>
        </is>
      </c>
      <c r="F6" s="86" t="inlineStr">
        <is>
          <t>linkedin.com/company/letsblinkit</t>
        </is>
      </c>
      <c r="G6" s="87" t="n"/>
      <c r="H6" s="89" t="n">
        <v>919953894326</v>
      </c>
    </row>
    <row r="7" ht="101.5" customHeight="1" s="80">
      <c r="A7" s="84" t="inlineStr">
        <is>
          <t>Nikita Patankar</t>
        </is>
      </c>
      <c r="B7" s="84" t="inlineStr">
        <is>
          <t>Director of product management</t>
        </is>
      </c>
      <c r="C7" s="85" t="inlineStr">
        <is>
          <t>linkedin.com/in/ACoAABkg3BMB3XX3HcheH3KnhuTcnoBCCQp_LX0</t>
        </is>
      </c>
      <c r="D7" s="84" t="inlineStr">
        <is>
          <t>Nobroker</t>
        </is>
      </c>
      <c r="E7" s="86" t="inlineStr">
        <is>
          <t>nobroker.in</t>
        </is>
      </c>
      <c r="F7" s="86" t="inlineStr">
        <is>
          <t>linkedin.com/company/nobroker-in</t>
        </is>
      </c>
      <c r="G7" s="84" t="inlineStr">
        <is>
          <t>nikita.patankar@nobroker.in</t>
        </is>
      </c>
      <c r="H7" s="87" t="n"/>
    </row>
    <row r="8" ht="101.5" customHeight="1" s="80">
      <c r="A8" s="84" t="inlineStr">
        <is>
          <t>Samir Mohammed</t>
        </is>
      </c>
      <c r="B8" s="84" t="inlineStr">
        <is>
          <t>Head of sales &amp; marketing</t>
        </is>
      </c>
      <c r="C8" s="85" t="inlineStr">
        <is>
          <t>linkedin.com/in/ACoAAC4vLwMBkqcxQ9uGx-QoOoyG_nfu9UFJGiE</t>
        </is>
      </c>
      <c r="D8" s="84" t="inlineStr">
        <is>
          <t>Nobroker</t>
        </is>
      </c>
      <c r="E8" s="86" t="inlineStr">
        <is>
          <t>nobroker.in</t>
        </is>
      </c>
      <c r="F8" s="86" t="inlineStr">
        <is>
          <t>linkedin.com/company/nobroker-in</t>
        </is>
      </c>
      <c r="G8" s="84" t="inlineStr">
        <is>
          <t>samir.mohammed@nobroker.in</t>
        </is>
      </c>
      <c r="H8" s="90" t="inlineStr">
        <is>
          <t>971 50 125 7753</t>
        </is>
      </c>
    </row>
    <row r="9" ht="102" customHeight="1" s="80">
      <c r="A9" s="84" t="inlineStr">
        <is>
          <t>Kayshel Ophelia Fernandes</t>
        </is>
      </c>
      <c r="B9" s="84" t="inlineStr">
        <is>
          <t>Associate director - communications &amp; public relations</t>
        </is>
      </c>
      <c r="C9" s="85" t="inlineStr">
        <is>
          <t>linkedin.com/in/ACoAAAuddjABEIHn3elPpO5RwhKvT2vYx67Z_yQ</t>
        </is>
      </c>
      <c r="D9" s="84" t="inlineStr">
        <is>
          <t>Practo</t>
        </is>
      </c>
      <c r="E9" s="86" t="inlineStr">
        <is>
          <t>practo.com</t>
        </is>
      </c>
      <c r="F9" s="86" t="inlineStr">
        <is>
          <t>linkedin.com/company/practo-technologies-pvt-ltd</t>
        </is>
      </c>
      <c r="G9" s="87" t="n"/>
      <c r="H9" s="84" t="n">
        <v>919987386811</v>
      </c>
    </row>
    <row r="10" ht="101.5" customHeight="1" s="80">
      <c r="A10" s="84" t="inlineStr">
        <is>
          <t>Bhargav Yellapragada</t>
        </is>
      </c>
      <c r="B10" s="84" t="inlineStr">
        <is>
          <t>Chief operating officer</t>
        </is>
      </c>
      <c r="C10" s="85" t="inlineStr">
        <is>
          <t>linkedin.com/in/ACoAAAfhhOEBhP4u4GondMFdJR0IY3fIGVnYOoU</t>
        </is>
      </c>
      <c r="D10" s="84" t="inlineStr">
        <is>
          <t>Zomato</t>
        </is>
      </c>
      <c r="E10" s="86" t="inlineStr">
        <is>
          <t>zomato.com</t>
        </is>
      </c>
      <c r="F10" s="86" t="inlineStr">
        <is>
          <t>linkedin.com/company/zomato</t>
        </is>
      </c>
      <c r="G10" s="87" t="n"/>
      <c r="H10" s="87" t="n"/>
    </row>
    <row r="11" ht="101.5" customHeight="1" s="80">
      <c r="A11" s="84" t="inlineStr">
        <is>
          <t>Shoumyan Biswas</t>
        </is>
      </c>
      <c r="B11" s="84" t="inlineStr">
        <is>
          <t>Global chief marketing and strategy officer</t>
        </is>
      </c>
      <c r="C11" s="85" t="inlineStr">
        <is>
          <t>linkedin.com/in/ACoAAAePDp0BIhqdmPD_PeQYYCZa_sbDlyzNKkE</t>
        </is>
      </c>
      <c r="D11" s="84" t="inlineStr">
        <is>
          <t>Practo</t>
        </is>
      </c>
      <c r="E11" s="86" t="inlineStr">
        <is>
          <t>practo.com</t>
        </is>
      </c>
      <c r="F11" s="86" t="inlineStr">
        <is>
          <t>linkedin.com/company/practo-technologies-pvt-ltd</t>
        </is>
      </c>
      <c r="G11" s="84" t="inlineStr">
        <is>
          <t>shoumyan.biswas@practo.com</t>
        </is>
      </c>
      <c r="H11" s="87" t="n"/>
    </row>
    <row r="12" ht="131" customHeight="1" s="80">
      <c r="A12" s="84" t="inlineStr">
        <is>
          <t>Saurav Goyal</t>
        </is>
      </c>
      <c r="B12" s="84" t="inlineStr">
        <is>
          <t>Senior vice president - driver and delivery product &amp; operations</t>
        </is>
      </c>
      <c r="C12" s="85" t="inlineStr">
        <is>
          <t>linkedin.com/in/ACoAAAGpukwBQfzAD4Mrksj5WYI4Kls0OH6IIiE</t>
        </is>
      </c>
      <c r="D12" s="84" t="inlineStr">
        <is>
          <t>Swiggy</t>
        </is>
      </c>
      <c r="E12" s="86" t="inlineStr">
        <is>
          <t>careers.swiggy.com</t>
        </is>
      </c>
      <c r="F12" s="86" t="inlineStr">
        <is>
          <t>linkedin.com/company/swiggy-in</t>
        </is>
      </c>
      <c r="G12" s="84" t="inlineStr">
        <is>
          <t>saurav.goyal@swiggy.in</t>
        </is>
      </c>
      <c r="H12" s="87" t="n"/>
    </row>
    <row r="13" ht="101.5" customHeight="1" s="80">
      <c r="A13" s="84" t="inlineStr">
        <is>
          <t>Jay B.</t>
        </is>
      </c>
      <c r="B13" s="84" t="inlineStr">
        <is>
          <t>Manager - strategy &amp; operations, ceo's office</t>
        </is>
      </c>
      <c r="C13" s="85" t="inlineStr">
        <is>
          <t>linkedin.com/in/ACoAABg4CcEBBzX92mLXqN8Ho_VQaqR0bhjWtG4</t>
        </is>
      </c>
      <c r="D13" s="84" t="inlineStr">
        <is>
          <t>Practo</t>
        </is>
      </c>
      <c r="E13" s="86" t="inlineStr">
        <is>
          <t>practo.com</t>
        </is>
      </c>
      <c r="F13" s="86" t="inlineStr">
        <is>
          <t>linkedin.com/company/practo-technologies-pvt-ltd</t>
        </is>
      </c>
      <c r="G13" s="87" t="n"/>
      <c r="H13" s="87" t="n"/>
    </row>
    <row r="14" ht="101.5" customHeight="1" s="80">
      <c r="A14" s="84" t="inlineStr">
        <is>
          <t>Shilpi Srivastav</t>
        </is>
      </c>
      <c r="B14" s="84" t="inlineStr">
        <is>
          <t>Brand &amp; revenue head - noice</t>
        </is>
      </c>
      <c r="C14" s="85" t="inlineStr">
        <is>
          <t>linkedin.com/in/ACoAAAvrkjcB0sYhlZe-rl-XALdGGWJ5SUd08jk</t>
        </is>
      </c>
      <c r="D14" s="84" t="inlineStr">
        <is>
          <t>Swiggy</t>
        </is>
      </c>
      <c r="E14" s="86" t="inlineStr">
        <is>
          <t>careers.swiggy.com</t>
        </is>
      </c>
      <c r="F14" s="86" t="inlineStr">
        <is>
          <t>linkedin.com/company/swiggy-in</t>
        </is>
      </c>
      <c r="G14" s="84" t="inlineStr">
        <is>
          <t>shilpi.srivastav@swiggy.in</t>
        </is>
      </c>
      <c r="H14" s="87" t="n"/>
    </row>
    <row r="15" ht="101.5" customHeight="1" s="80">
      <c r="A15" s="84" t="inlineStr">
        <is>
          <t>Firoz Alam</t>
        </is>
      </c>
      <c r="B15" s="84" t="inlineStr">
        <is>
          <t>Operations head</t>
        </is>
      </c>
      <c r="C15" s="85" t="inlineStr">
        <is>
          <t>linkedin.com/in/ACoAAASWdMABVr49X_K-5pmD1TfDGnryY9cAvBQ</t>
        </is>
      </c>
      <c r="D15" s="84" t="inlineStr">
        <is>
          <t>Blinkit</t>
        </is>
      </c>
      <c r="E15" s="86" t="inlineStr">
        <is>
          <t>blinkit.com</t>
        </is>
      </c>
      <c r="F15" s="86" t="inlineStr">
        <is>
          <t>linkedin.com/company/letsblinkit</t>
        </is>
      </c>
      <c r="G15" s="84" t="inlineStr">
        <is>
          <t>firozalam@blinkit.com</t>
        </is>
      </c>
      <c r="H15" s="87" t="n"/>
    </row>
    <row r="16" ht="101.5" customHeight="1" s="80">
      <c r="A16" s="84" t="inlineStr">
        <is>
          <t>Shikhar Baveja</t>
        </is>
      </c>
      <c r="B16" s="84" t="inlineStr">
        <is>
          <t>Director - planning and sales operations</t>
        </is>
      </c>
      <c r="C16" s="85" t="inlineStr">
        <is>
          <t>linkedin.com/in/ACoAAA6BZPEBJs3oTWp8tl9cBvGNYhah9ayVhH0</t>
        </is>
      </c>
      <c r="D16" s="84" t="inlineStr">
        <is>
          <t>Swiggy</t>
        </is>
      </c>
      <c r="E16" s="86" t="inlineStr">
        <is>
          <t>careers.swiggy.com</t>
        </is>
      </c>
      <c r="F16" s="86" t="inlineStr">
        <is>
          <t>linkedin.com/company/swiggy-in</t>
        </is>
      </c>
      <c r="G16" s="84" t="inlineStr">
        <is>
          <t>shikhar.baveja@swiggy.in</t>
        </is>
      </c>
      <c r="H16" s="87" t="n"/>
    </row>
    <row r="17" ht="89" customHeight="1" s="80">
      <c r="A17" s="84" t="inlineStr">
        <is>
          <t>Romeo Ghosh</t>
        </is>
      </c>
      <c r="B17" s="84" t="inlineStr">
        <is>
          <t>Associate director - marketing &amp; new initiatives</t>
        </is>
      </c>
      <c r="C17" s="85" t="inlineStr">
        <is>
          <t>linkedin.com/in/ACoAABtfdPUBlEWxTuCdpAfhZpBzjKsCIkibhjA</t>
        </is>
      </c>
      <c r="D17" s="84" t="inlineStr">
        <is>
          <t>Nobroker</t>
        </is>
      </c>
      <c r="E17" s="86" t="inlineStr">
        <is>
          <t>nobroker.in</t>
        </is>
      </c>
      <c r="F17" s="86" t="inlineStr">
        <is>
          <t>linkedin.com/company/nobroker-in</t>
        </is>
      </c>
      <c r="G17" s="84" t="inlineStr">
        <is>
          <t>romeo.ghosh@nobroker.in</t>
        </is>
      </c>
      <c r="H17" s="84" t="n">
        <v>918376061525</v>
      </c>
    </row>
    <row r="18" ht="116.5" customHeight="1" s="80">
      <c r="A18" s="84" t="inlineStr">
        <is>
          <t>Kopal Seth</t>
        </is>
      </c>
      <c r="B18" s="84" t="inlineStr">
        <is>
          <t>Vp- learning content strategy and program operations</t>
        </is>
      </c>
      <c r="C18" s="85" t="inlineStr">
        <is>
          <t>linkedin.com/in/ACoAAB9zp4IBoTVDi-sQWxmsQ2zk_Y5ebNXKwqk</t>
        </is>
      </c>
      <c r="D18" s="84" t="inlineStr">
        <is>
          <t>Internshala</t>
        </is>
      </c>
      <c r="E18" s="86" t="inlineStr">
        <is>
          <t>internshala.com</t>
        </is>
      </c>
      <c r="F18" s="86" t="inlineStr">
        <is>
          <t>linkedin.com/company/internshala</t>
        </is>
      </c>
      <c r="G18" s="84" t="inlineStr">
        <is>
          <t>kopal@internshala.com</t>
        </is>
      </c>
      <c r="H18" s="87" t="n"/>
    </row>
    <row r="19" ht="101.5" customHeight="1" s="80">
      <c r="A19" s="84" t="inlineStr">
        <is>
          <t>Abuzar Jamal</t>
        </is>
      </c>
      <c r="B19" s="84" t="inlineStr">
        <is>
          <t>Director - business operations</t>
        </is>
      </c>
      <c r="C19" s="85" t="inlineStr">
        <is>
          <t>linkedin.com/in/ACoAABy7XtYBHgA5V1kKvWMTzdBMHupJsqD7rjM</t>
        </is>
      </c>
      <c r="D19" s="84" t="inlineStr">
        <is>
          <t>Collegedunia</t>
        </is>
      </c>
      <c r="E19" s="86" t="inlineStr">
        <is>
          <t>collegedunia.com</t>
        </is>
      </c>
      <c r="F19" s="86" t="inlineStr">
        <is>
          <t>linkedin.com/school/collegedunia</t>
        </is>
      </c>
      <c r="G19" s="84" t="inlineStr">
        <is>
          <t>abuzar.jamal@collegedunia.com</t>
        </is>
      </c>
      <c r="H19" s="87" t="n"/>
    </row>
    <row r="20" ht="101.5" customHeight="1" s="80">
      <c r="A20" s="84" t="inlineStr">
        <is>
          <t>Pratyush (pratyush Nishantkar) N.</t>
        </is>
      </c>
      <c r="B20" s="84" t="inlineStr">
        <is>
          <t>Head of product - cashback &amp; rewards</t>
        </is>
      </c>
      <c r="C20" s="85" t="inlineStr">
        <is>
          <t>linkedin.com/in/ACoAABH-xyMBi7swKOpC2Ofo7cJxcdUC5024Im8</t>
        </is>
      </c>
      <c r="D20" s="84" t="inlineStr">
        <is>
          <t>Collegedunia</t>
        </is>
      </c>
      <c r="E20" s="86" t="inlineStr">
        <is>
          <t>collegedunia.com</t>
        </is>
      </c>
      <c r="F20" s="86" t="inlineStr">
        <is>
          <t>linkedin.com/school/collegedunia</t>
        </is>
      </c>
      <c r="G20" s="84" t="inlineStr">
        <is>
          <t>pratyush.nishantkar@collegedunia.com</t>
        </is>
      </c>
      <c r="H20" s="87" t="n"/>
    </row>
    <row r="21" ht="101.5" customHeight="1" s="80">
      <c r="A21" s="84" t="inlineStr">
        <is>
          <t>Suhas Mishra</t>
        </is>
      </c>
      <c r="B21" s="84" t="inlineStr">
        <is>
          <t>Director of product management</t>
        </is>
      </c>
      <c r="C21" s="85" t="inlineStr">
        <is>
          <t>linkedin.com/in/ACoAAALgKlQBSWSrDYpPs9_tq67jTOqoGRsMe7k</t>
        </is>
      </c>
      <c r="D21" s="84" t="inlineStr">
        <is>
          <t>Housing</t>
        </is>
      </c>
      <c r="E21" s="86" t="inlineStr">
        <is>
          <t>housing.com</t>
        </is>
      </c>
      <c r="F21" s="86" t="inlineStr">
        <is>
          <t>linkedin.com/company/housing-com</t>
        </is>
      </c>
      <c r="G21" s="84" t="inlineStr">
        <is>
          <t>suhas.mishra@housing.com</t>
        </is>
      </c>
      <c r="H21" s="87" t="n"/>
    </row>
    <row r="22" ht="102" customHeight="1" s="80">
      <c r="A22" s="84" t="inlineStr">
        <is>
          <t>Prakash Singhal</t>
        </is>
      </c>
      <c r="B22" s="84" t="inlineStr">
        <is>
          <t>Zonal head - karnataka, kerala &amp; alliances - south</t>
        </is>
      </c>
      <c r="C22" s="85" t="inlineStr">
        <is>
          <t>linkedin.com/in/ACoAAAJ8MvoBa1hloZzn3EQNqzhpHkMKoUm1Rbw</t>
        </is>
      </c>
      <c r="D22" s="84" t="inlineStr">
        <is>
          <t>Housing</t>
        </is>
      </c>
      <c r="E22" s="86" t="inlineStr">
        <is>
          <t>housing.com</t>
        </is>
      </c>
      <c r="F22" s="86" t="inlineStr">
        <is>
          <t>linkedin.com/company/housing-com</t>
        </is>
      </c>
      <c r="G22" s="84" t="inlineStr">
        <is>
          <t>prakash.singhal@housing.com</t>
        </is>
      </c>
      <c r="H22" s="84" t="n">
        <v>918882211110</v>
      </c>
    </row>
    <row r="23" ht="102" customHeight="1" s="80">
      <c r="A23" s="84" t="inlineStr">
        <is>
          <t>Shruti Garg</t>
        </is>
      </c>
      <c r="B23" s="84" t="inlineStr">
        <is>
          <t>Director - customer insights and campaign management</t>
        </is>
      </c>
      <c r="C23" s="85" t="inlineStr">
        <is>
          <t>linkedin.com/in/ACoAAAL3gLcBTOAFv3hPitlSN7Cfc9Eo7DLH8VY</t>
        </is>
      </c>
      <c r="D23" s="84" t="inlineStr">
        <is>
          <t>Housing</t>
        </is>
      </c>
      <c r="E23" s="86" t="inlineStr">
        <is>
          <t>housing.com</t>
        </is>
      </c>
      <c r="F23" s="86" t="inlineStr">
        <is>
          <t>linkedin.com/company/housing-com</t>
        </is>
      </c>
      <c r="G23" s="84" t="inlineStr">
        <is>
          <t>shruti.garg@housing.com</t>
        </is>
      </c>
      <c r="H23" s="87" t="n"/>
    </row>
    <row r="24" ht="101.5" customHeight="1" s="80">
      <c r="A24" s="84" t="inlineStr">
        <is>
          <t>Kenneth Saldanha</t>
        </is>
      </c>
      <c r="B24" s="84" t="inlineStr">
        <is>
          <t>Director - marketing</t>
        </is>
      </c>
      <c r="C24" s="85" t="inlineStr">
        <is>
          <t>linkedin.com/in/ACoAAA-bMaQBVMD-qix9dFtM6jjRwPi2-ux_e0M</t>
        </is>
      </c>
      <c r="D24" s="84" t="inlineStr">
        <is>
          <t>Mygate</t>
        </is>
      </c>
      <c r="E24" s="86" t="inlineStr">
        <is>
          <t>mygate.com</t>
        </is>
      </c>
      <c r="F24" s="86" t="inlineStr">
        <is>
          <t>linkedin.com/company/mygatecom</t>
        </is>
      </c>
      <c r="G24" s="84" t="inlineStr">
        <is>
          <t>kenneth.saldanha@mygate.com</t>
        </is>
      </c>
      <c r="H24" s="87" t="n"/>
    </row>
    <row r="25" ht="101.5" customHeight="1" s="80">
      <c r="A25" s="84" t="inlineStr">
        <is>
          <t>Praful Bele</t>
        </is>
      </c>
      <c r="B25" s="84" t="inlineStr">
        <is>
          <t>City head, mumbai</t>
        </is>
      </c>
      <c r="C25" s="85" t="inlineStr">
        <is>
          <t>linkedin.com/in/ACoAACP9cSsBxG3-Wlh5EwQyoIyMqIEpRcInPWw</t>
        </is>
      </c>
      <c r="D25" s="84" t="inlineStr">
        <is>
          <t>Collegedunia</t>
        </is>
      </c>
      <c r="E25" s="86" t="inlineStr">
        <is>
          <t>collegedunia.com</t>
        </is>
      </c>
      <c r="F25" s="86" t="inlineStr">
        <is>
          <t>linkedin.com/school/collegedunia</t>
        </is>
      </c>
      <c r="G25" s="84" t="inlineStr">
        <is>
          <t>praful.bele@collegedunia.com</t>
        </is>
      </c>
      <c r="H25" s="84" t="n">
        <v>918779320849</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219"/>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Follow up on the sent outreach and ask where decision hesitation is still blocking user conversion or trust monetization.</t>
        </is>
      </c>
      <c r="I5" s="185" t="inlineStr">
        <is>
          <t>2026-05-04</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Execute and log the existing Tier A owner sends first; next controlled Tier A expansion is Parvati, GEI, and C.J. Gelatine. Keep Autosign and Farmila queued until scale/intent is verified by phone.</t>
        </is>
      </c>
      <c r="I6" s="189" t="inlineStr">
        <is>
          <t>2026-05-03</t>
        </is>
      </c>
      <c r="J6" s="189" t="inlineStr">
        <is>
          <t>Active</t>
        </is>
      </c>
      <c r="K6" s="189" t="inlineStr">
        <is>
          <t>Channel: Owner email + public business phone; call only after first email touch. | Contact: Tier A verified/promoted: Nahar, Deep, Perfect World, Tirupati, Sapna, Yantra, B.K. Bhatia, S.K./Saurabh Gulati, J.B. Sangwan, Yateesh Kumar, Vikas Prakash, K.G./Nitin/Aparna Bansal, Kishore Gupta, Vijay Bora, Dr. R.S. Goswami, Jaideep Jain, Vinod Sapre/Righill, K.M. Kumar/Kumaran, N.K./Neeraj Goel/Kakda. Direct public updates now explicit in individual rows for Righill, Sameer, Kumaran, Kakda, Star Delta, and Tesla. | Source: Identify Business Owners &gt;2Cr | Decision_Gap: Owner-led businesses commit money to stock, capex, vendor, expansion, and personal investment decisions before anyone stress-tests the thinking behind the move. | Tier A discipline: send named owner/MD/CEO/founder routes first; call only after email touch except Kakda where call-first is cleaner because public email confidence is mixed. New direct route cleanup filled missing public emails/phones for Righill, Sameer, Kumaran, and Kakda. Do not promote queued Tier B rows until first-wave owner sends are logged or scale is verified. | [2026-05-02 overnight] Added official public leadership routes: Parvati/Poonam Chouksey, GEI/C.E. Fernandes, C.J. Gelatine/Jaspal Singh as Tier A; Autosign/Rakesh Agrawal and Farmila/Govind Singh Dangi as queued Tier B. Decision-gap order: owner capital/procurement/capex decisions first; no generic inbox blast.</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Follow up current Bhopal/Indore CA sends first; only then use Raipur and Jaipur chair/secretary routes as large-branch expansion or routing escalation.</t>
        </is>
      </c>
      <c r="I7" s="189" t="inlineStr">
        <is>
          <t>2026-05-03</t>
        </is>
      </c>
      <c r="J7" s="189" t="inlineStr">
        <is>
          <t>Active</t>
        </is>
      </c>
      <c r="K7" s="189" t="inlineStr">
        <is>
          <t>Channel: Direct public email + mobile from CIRC/ICAI office-bearer PDFs. | Contact: First wave: Arpit Rai, Abhishek Jain, Rajat Dhanuka, Milind Wadhwani. Regional routing: CA Govind Agarwal/CIRC. Regional escalation ready: CA Ankur Goyal 9889233731 ragsankur3@gmail.com; CA Ankush Jain 8109471070 caankush41@gmail.com; CA Nirbhik Gandhi 9785084747 canirbhik@gmail.com. Expansion queued: Lucknow and Varanasi chair/secretary direct routes in rows SCR-CA-040/041. | Source: Contact CA Associations | Decision_Gap: CA leaders repeatedly see clients act after gathering information, but the missing layer is validation of judgment before capital is committed. | Trust gateway order remains strict: city office bearers first, regional staff route if ownership is unclear, regional council escalation only after first-wave logging. Direct contact enrichment is complete for CIRC regional, Lucknow, and Varanasi rows; do not let larger-branch expansion distract from Bhopal/Indore sends. | [2026-05-02] Zoho sent to shanu.goel@icai.in and abhishek@dandaca.com. CA outreach has started in mailbox; Bhopal/Indore branch-first route still needs explicit confirmation if that remains the intended path. | [2026-05-02 overnight] Added Raipur and Jaipur CIRC chair/secretary routes with direct public emails/mobiles. Keep them queued behind Bhopal/Indore first-wave and regional CIRC routing; use only if expansion capacity exists or first-wave ownership stalls.</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Follow up on the sent outreach and ask where decision hesitation is still blocking user conversion or trust monetization.</t>
        </is>
      </c>
      <c r="I8" s="185" t="inlineStr">
        <is>
          <t>2026-05-04</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Follow-up 1 if no reply</t>
        </is>
      </c>
      <c r="I9" s="185" t="inlineStr">
        <is>
          <t>2026-05-04</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Follow up on the sent outreach and ask where decision hesitation is still blocking user conversion or trust monetization.</t>
        </is>
      </c>
      <c r="I10" s="185" t="inlineStr">
        <is>
          <t>2026-05-04</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 up on the sent outreach and ask where decision hesitation is still blocking user conversion or trust monetization.</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Manoj Chakraborty</t>
        </is>
      </c>
      <c r="C69" s="188" t="inlineStr">
        <is>
          <t>Bhopal Branch of CIRC of ICAI</t>
        </is>
      </c>
      <c r="D69" s="188" t="inlineStr">
        <is>
          <t>CA</t>
        </is>
      </c>
      <c r="E69" s="188" t="inlineStr">
        <is>
          <t>A</t>
        </is>
      </c>
      <c r="F69" s="188" t="inlineStr">
        <is>
          <t>New</t>
        </is>
      </c>
      <c r="G69" s="188" t="inlineStr"/>
      <c r="H69" s="188" t="inlineStr">
        <is>
          <t>Send branch inbox opener after named office-bearer emails: ask who owns member programming around repeated client investment decisions that looked informed but were not validated.</t>
        </is>
      </c>
      <c r="I69" s="188" t="inlineStr">
        <is>
          <t>2026-05-02</t>
        </is>
      </c>
      <c r="J69" s="188" t="inlineStr">
        <is>
          <t>Active</t>
        </is>
      </c>
      <c r="K69" s="188" t="inlineStr">
        <is>
          <t>Channel: bhopal@icai.org | Branch phone 07554908462 | Contact: Manoj Chakraborty | Bhopal Branch staff contact | 9131475919 | Source: Contact CA Associations | Decision_Gap: Branch teams can route the problem quickly if the ask is about preventing poor client decisions before action, not running another awareness program. | Verified public CIRC Bhopal Office Bearer PDF 2025-2026; use only after Arpit/Abhishek direct touches or as CC route.</t>
        </is>
      </c>
    </row>
    <row r="70">
      <c r="A70" s="188" t="inlineStr">
        <is>
          <t>SCR-CA-002</t>
        </is>
      </c>
      <c r="B70" s="188" t="inlineStr">
        <is>
          <t>Arpit Rai</t>
        </is>
      </c>
      <c r="C70" s="188" t="inlineStr"/>
      <c r="D70" s="188" t="inlineStr">
        <is>
          <t>CA</t>
        </is>
      </c>
      <c r="E70" s="188" t="inlineStr">
        <is>
          <t>A</t>
        </is>
      </c>
      <c r="F70" s="188" t="inlineStr">
        <is>
          <t>Contacted</t>
        </is>
      </c>
      <c r="G70" s="188" t="inlineStr">
        <is>
          <t>2026-05-02</t>
        </is>
      </c>
      <c r="H70" s="188" t="inlineStr">
        <is>
          <t>Follow-up 1 if no reply</t>
        </is>
      </c>
      <c r="I70" s="188" t="inlineStr">
        <is>
          <t>2026-05-04</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t>
        </is>
      </c>
    </row>
    <row r="71">
      <c r="A71" s="188" t="inlineStr">
        <is>
          <t>SCR-CA-003</t>
        </is>
      </c>
      <c r="B71" s="188" t="inlineStr">
        <is>
          <t>Abhishek Jain</t>
        </is>
      </c>
      <c r="C71" s="188" t="inlineStr"/>
      <c r="D71" s="188" t="inlineStr">
        <is>
          <t>CA</t>
        </is>
      </c>
      <c r="E71" s="188" t="inlineStr">
        <is>
          <t>A</t>
        </is>
      </c>
      <c r="F71" s="188" t="inlineStr">
        <is>
          <t>Contacted</t>
        </is>
      </c>
      <c r="G71" s="188" t="inlineStr">
        <is>
          <t>2026-05-02</t>
        </is>
      </c>
      <c r="H71" s="188" t="inlineStr">
        <is>
          <t>Follow-up 1 if no reply</t>
        </is>
      </c>
      <c r="I71" s="188" t="inlineStr">
        <is>
          <t>2026-05-04</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t>
        </is>
      </c>
    </row>
    <row r="72">
      <c r="A72" s="188" t="inlineStr">
        <is>
          <t>SCR-CA-004</t>
        </is>
      </c>
      <c r="B72" s="188" t="inlineStr">
        <is>
          <t>Suresh Tiwari</t>
        </is>
      </c>
      <c r="C72" s="188" t="inlineStr">
        <is>
          <t>Indore Branch of CIRC of ICAI</t>
        </is>
      </c>
      <c r="D72" s="188" t="inlineStr">
        <is>
          <t>CA</t>
        </is>
      </c>
      <c r="E72" s="188" t="inlineStr">
        <is>
          <t>A</t>
        </is>
      </c>
      <c r="F72" s="188" t="inlineStr">
        <is>
          <t>New</t>
        </is>
      </c>
      <c r="G72" s="188" t="inlineStr"/>
      <c r="H72" s="188" t="inlineStr">
        <is>
          <t>Send branch-level backup note after Rajat/Milind touches; ask who handles member sessions on decision quality and client money behavior.</t>
        </is>
      </c>
      <c r="I72" s="188" t="inlineStr">
        <is>
          <t>2026-05-02</t>
        </is>
      </c>
      <c r="J72" s="188" t="inlineStr">
        <is>
          <t>Active</t>
        </is>
      </c>
      <c r="K72" s="188" t="inlineStr">
        <is>
          <t>Channel: indore@icai.in | Branch phones 0731-4298198, 2570052-53 | Contact: Suresh Tiwari | Indore Branch staff contact | 9303813511 | Source: Contact CA Associations | Decision_Gap: Large branch distribution matters only if the first message makes the validation gap obvious before a program is proposed. | Verified public CIRC Indore Office Bearer PDF 2025-2026.</t>
        </is>
      </c>
    </row>
    <row r="73">
      <c r="A73" s="188" t="inlineStr">
        <is>
          <t>SCR-CA-005</t>
        </is>
      </c>
      <c r="B73" s="188" t="inlineStr">
        <is>
          <t>Rajat Dhanuka</t>
        </is>
      </c>
      <c r="C73" s="188" t="inlineStr"/>
      <c r="D73" s="188" t="inlineStr">
        <is>
          <t>CA</t>
        </is>
      </c>
      <c r="E73" s="188" t="inlineStr">
        <is>
          <t>A</t>
        </is>
      </c>
      <c r="F73" s="188" t="inlineStr">
        <is>
          <t>Contacted</t>
        </is>
      </c>
      <c r="G73" s="188" t="inlineStr">
        <is>
          <t>2026-05-02</t>
        </is>
      </c>
      <c r="H73" s="188" t="inlineStr">
        <is>
          <t>Follow-up 1 if no reply</t>
        </is>
      </c>
      <c r="I73" s="188" t="inlineStr">
        <is>
          <t>2026-05-04</t>
        </is>
      </c>
      <c r="J73" s="188" t="inlineStr">
        <is>
          <t>Active</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Follow-up 1 if no reply</t>
        </is>
      </c>
      <c r="I76" s="188" t="inlineStr">
        <is>
          <t>2026-05-04</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 an owner-level email tied to high-ticket electronics and customer purchase confidence; follow with one phone call after email touch.</t>
        </is>
      </c>
      <c r="I77" s="188" t="inlineStr">
        <is>
          <t>2026-05-02</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Follow-up 1 if no reply</t>
        </is>
      </c>
      <c r="I78" s="188" t="inlineStr">
        <is>
          <t>2026-05-04</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Follow-up 1 if no reply</t>
        </is>
      </c>
      <c r="I81" s="188" t="inlineStr">
        <is>
          <t>2026-05-04</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t>
        </is>
      </c>
    </row>
    <row r="82">
      <c r="A82" s="190" t="inlineStr">
        <is>
          <t>SCR-CA-008</t>
        </is>
      </c>
      <c r="B82" s="190" t="inlineStr">
        <is>
          <t>Aditya P. Srivastava</t>
        </is>
      </c>
      <c r="C82" s="190" t="inlineStr"/>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c r="D83" s="190" t="inlineStr">
        <is>
          <t>CA</t>
        </is>
      </c>
      <c r="E83" s="190" t="inlineStr">
        <is>
          <t>A</t>
        </is>
      </c>
      <c r="F83" s="190" t="inlineStr">
        <is>
          <t>New</t>
        </is>
      </c>
      <c r="G83" s="190" t="inlineStr"/>
      <c r="H83" s="190" t="inlineStr">
        <is>
          <t>Send secretary outreach today; propose a practical member conversation around decisions that feel rational until the downside appears.</t>
        </is>
      </c>
      <c r="I83" s="190" t="inlineStr">
        <is>
          <t>2026-05-02</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the high-ticket retail opener today; use the above-15Cr GST signal to keep this in the first owner batch, then call if no reply.</t>
        </is>
      </c>
      <c r="I89" s="190" t="inlineStr">
        <is>
          <t>2026-05-02</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the electronics-owner opener today; call public number to confirm owner route and ask about recent stock/customer decisions that proved costly.</t>
        </is>
      </c>
      <c r="I90" s="190" t="inlineStr">
        <is>
          <t>2026-05-02</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c r="D96" s="190" t="inlineStr">
        <is>
          <t>CA</t>
        </is>
      </c>
      <c r="E96" s="190" t="inlineStr">
        <is>
          <t>B</t>
        </is>
      </c>
      <c r="F96" s="190" t="inlineStr">
        <is>
          <t>New</t>
        </is>
      </c>
      <c r="G96" s="190" t="inlineStr"/>
      <c r="H96" s="190" t="inlineStr">
        <is>
          <t>Use as Indore vice-chair support route after Rajat/Milind. Frame Fnomo as a member-useful way to surface client decision risk before capital is committed.</t>
        </is>
      </c>
      <c r="I96" s="190" t="inlineStr">
        <is>
          <t>2026-05-03</t>
        </is>
      </c>
      <c r="J96" s="190" t="inlineStr">
        <is>
          <t>Waiting</t>
        </is>
      </c>
      <c r="K96" s="190" t="inlineStr">
        <is>
          <t>Channel: SAMKIT.FCA@GMAIL.COM | Contact: CA Samkit Bhandari | Vice Chairman, Indore Branch of CIRC of ICAI | Mobile 9009770770 | Office 8120770770 | Source: Contact CA Associations | Decision_Gap: Vice-chair can sponsor a branch conversation if the first-wave message lands but needs another internal champion. | Public CIRC Indore Office Bearer PDF 2025-2026 lists role, office phone, mobile, and email. Support route only.</t>
        </is>
      </c>
    </row>
    <row r="97">
      <c r="A97" s="190" t="inlineStr">
        <is>
          <t>SCR-CA-017</t>
        </is>
      </c>
      <c r="B97" s="190" t="inlineStr">
        <is>
          <t>Lavish Tanted</t>
        </is>
      </c>
      <c r="C97" s="190" t="inlineStr"/>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Use as same-day industrial Tier A expansion after the current six owner sends are logged. Open on heavy fabrication, vendor commitments, and working-capital decisions that look operational until the downside appears.</t>
        </is>
      </c>
      <c r="I102" s="190" t="inlineStr">
        <is>
          <t>2026-05-02</t>
        </is>
      </c>
      <c r="J102" s="190" t="inlineStr">
        <is>
          <t>Active</t>
        </is>
      </c>
      <c r="K102" s="190" t="inlineStr">
        <is>
          <t>Channel: rajubke@bkenter.com | bkbhatia.bke@gmail.com | 0755-4261494, 4224932 | 9826357003, 9770185507, 9981507283 | Contact: Sh. B.K. Bhatia | Founder, B.K. Enterprises | Govindpura industrial manufacturer | Source: Identify Business Owners &gt;2Cr | Decision_Gap: Heavy fabrication owners make high-stakes supplier, machine-utilization, quality, and credit calls where confidence can outrun validation. | Official B.K. Enterprises site lists founder, 1983 establishment, heavy fabrication/manufacturing profile, emails, landlines, and mobiles. Promote to Tier A industrial owner route.</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Use as same-day Tier A expansion after first-wave sends. Send to S.K. Gulati/Saurabh Gulati with an industrial-decision opener around procurement, plant capacity, and vendor risk.</t>
        </is>
      </c>
      <c r="I103" s="190" t="inlineStr">
        <is>
          <t>2026-05-02</t>
        </is>
      </c>
      <c r="J103" s="190" t="inlineStr">
        <is>
          <t>Active</t>
        </is>
      </c>
      <c r="K103" s="190" t="inlineStr">
        <is>
          <t>Channel: managingdirector@skindustriesbhopal.com | saurabh@skindustriesbhopal.com | md@skindustriesbhopal.com | 0755-4271946, 2586567, 4261974 | 9303131877 | Contact: Mr. S.K. Gulati and Mr. Saurabh Gulati | Managing Directors | S.K. Industries, Govindpura | Source: Identify Business Owners &gt;2Cr | Decision_Gap: Industrial managing directors repeatedly commit to procurement, production, and buyer-credit decisions before the decision logic is independently stress-tested. | Official S.K. Industries contact page lists both managing directors, direct email routes, landlines, mobile, and industrial-area address. Tier A because named MD route is public and owner-led.</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Use as next Tier A industrial owner route after the active first-wave sends are logged. Send to J.B. Sangwan with a transformer-fabrication decision opener around capacity, vendor, and quality calls that look operational until capital is locked.</t>
        </is>
      </c>
      <c r="I119" s="190" t="inlineStr">
        <is>
          <t>2026-05-02</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Send CEO-level outreach after the active first-wave owner touches. Open on the last project, fabrication, or procurement decision that seemed well-scoped but later exposed unvalidated assumptions.</t>
        </is>
      </c>
      <c r="I120" s="190" t="inlineStr">
        <is>
          <t>2026-05-02</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Send owner/MD outreach after current Tier A sends. Use hose, pipe, defence, mining, and OEM supply decisions as the practical frame for validating judgment before purchase or production commitment.</t>
        </is>
      </c>
      <c r="I121" s="190" t="inlineStr">
        <is>
          <t>2026-05-02</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Send direct MD/CEO outreach today using the refreshed public emails. Open on the last control-panel, starter, or customer-spec decision that looked technical but later exposed an unvalidated business judgment.</t>
        </is>
      </c>
      <c r="I122" s="190" t="inlineStr">
        <is>
          <t>2026-05-02</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Follow-up 1 if no reply</t>
        </is>
      </c>
      <c r="I128" s="190" t="inlineStr">
        <is>
          <t>2026-05-04</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Follow-up 1 if no reply</t>
        </is>
      </c>
      <c r="I133" s="190" t="inlineStr">
        <is>
          <t>2026-05-04</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Send Vijay Bora an owner/CEO note after first-wave sends. Use power-plant fabrication, transformer-tank, and heavy sheet-metal decisions as the hook for validating judgment before accepting work or locking material.</t>
        </is>
      </c>
      <c r="I134" s="190" t="inlineStr">
        <is>
          <t>2026-05-02</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Send founder/CEO outreach after the current Tier A owner batch. Open on export, compliance, product, and distributor decisions where bad validation can be expensive even when data is available.</t>
        </is>
      </c>
      <c r="I135" s="190" t="inlineStr">
        <is>
          <t>2026-05-02</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Send promoter/CMD outreach after Star Delta/Bora/Hind Pharma if first-wave sends are logged. Use transformer-project, procurement, and customer-spec decisions where validation before commitment prevents downstream loss.</t>
        </is>
      </c>
      <c r="I136" s="190" t="inlineStr">
        <is>
          <t>2026-05-02</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t>
        </is>
      </c>
    </row>
    <row r="137">
      <c r="A137" s="190" t="inlineStr">
        <is>
          <t>SCR-CA-035</t>
        </is>
      </c>
      <c r="B137" s="190" t="inlineStr">
        <is>
          <t>Vikas Golchha</t>
        </is>
      </c>
      <c r="C137" s="190" t="inlineStr">
        <is>
          <t>Raipur Branch of CIRC of ICAI</t>
        </is>
      </c>
      <c r="D137" s="190" t="inlineStr">
        <is>
          <t>CA</t>
        </is>
      </c>
      <c r="E137" s="190" t="inlineStr">
        <is>
          <t>B</t>
        </is>
      </c>
      <c r="F137" s="190" t="inlineStr">
        <is>
          <t>New</t>
        </is>
      </c>
      <c r="G137" s="190" t="inlineStr"/>
      <c r="H137" s="190" t="inlineStr">
        <is>
          <t>Queue after Bhopal/Indore chair-secretary touches and the CIRC routing note. Send chairman/secretary version only if first-wave CA messages are logged or need a larger CIRC proof point.</t>
        </is>
      </c>
      <c r="I137" s="190" t="inlineStr">
        <is>
          <t>2026-05-03</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t>
        </is>
      </c>
    </row>
    <row r="138">
      <c r="A138" s="190" t="inlineStr">
        <is>
          <t>SCR-CA-036</t>
        </is>
      </c>
      <c r="B138" s="190" t="inlineStr">
        <is>
          <t>Vikas Yadav</t>
        </is>
      </c>
      <c r="C138" s="190" t="inlineStr">
        <is>
          <t>Jaipur Branch of CIRC of ICAI</t>
        </is>
      </c>
      <c r="D138" s="190" t="inlineStr">
        <is>
          <t>CA</t>
        </is>
      </c>
      <c r="E138" s="190" t="inlineStr">
        <is>
          <t>B</t>
        </is>
      </c>
      <c r="F138" s="190" t="inlineStr">
        <is>
          <t>New</t>
        </is>
      </c>
      <c r="G138" s="190" t="inlineStr"/>
      <c r="H138" s="190" t="inlineStr">
        <is>
          <t>Queue as larger-branch expansion after first MP branch touches. Use chair/secretary route and ask who owns member programming for decision-quality/client-money behavior.</t>
        </is>
      </c>
      <c r="I138" s="190" t="inlineStr">
        <is>
          <t>2026-05-03</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Follow-up 1 if no reply</t>
        </is>
      </c>
      <c r="I139" s="190" t="inlineStr">
        <is>
          <t>2026-05-04</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Follow-up 1 if no reply</t>
        </is>
      </c>
      <c r="I148" s="190" t="inlineStr">
        <is>
          <t>2026-05-04</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Call-first after current Tier A owner sends; use email only as a supporting route. Ask about the last steel procurement, working-capital, or customer-credit decision that looked necessary but should have been stress-tested before commitment.</t>
        </is>
      </c>
      <c r="I149" s="190" t="inlineStr">
        <is>
          <t>2026-05-02</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t>
        </is>
      </c>
    </row>
    <row r="150">
      <c r="A150" s="190" t="inlineStr">
        <is>
          <t>SCR-CA-040</t>
        </is>
      </c>
      <c r="B150" s="190" t="inlineStr">
        <is>
          <t>Anurag Pandey</t>
        </is>
      </c>
      <c r="C150" s="190" t="inlineStr">
        <is>
          <t>Lucknow Branch of CIRC of ICAI</t>
        </is>
      </c>
      <c r="D150" s="190" t="inlineStr">
        <is>
          <t>CA</t>
        </is>
      </c>
      <c r="E150" s="190" t="inlineStr">
        <is>
          <t>B</t>
        </is>
      </c>
      <c r="F150" s="190" t="inlineStr">
        <is>
          <t>New</t>
        </is>
      </c>
      <c r="G150" s="190" t="inlineStr"/>
      <c r="H150" s="190" t="inlineStr">
        <is>
          <t>Queue as large-branch expansion after Bhopal/Indore/CIRC first-wave touches are logged. Use Anurag Pandey and Rishabh Mishra first; ask who owns member programming around client decisions that looked informed but were not validated.</t>
        </is>
      </c>
      <c r="I150" s="190" t="inlineStr">
        <is>
          <t>2026-05-03</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t>
        </is>
      </c>
    </row>
    <row r="151" s="80">
      <c r="A151" s="190" t="inlineStr">
        <is>
          <t>SCR-CA-041</t>
        </is>
      </c>
      <c r="B151" s="190" t="inlineStr">
        <is>
          <t>Niraj Kumar Singh</t>
        </is>
      </c>
      <c r="C151" s="190" t="inlineStr">
        <is>
          <t>Varanasi Branch of CIRC of ICAI</t>
        </is>
      </c>
      <c r="D151" s="190" t="inlineStr">
        <is>
          <t>CA</t>
        </is>
      </c>
      <c r="E151" s="190" t="inlineStr">
        <is>
          <t>B</t>
        </is>
      </c>
      <c r="F151" s="190" t="inlineStr">
        <is>
          <t>New</t>
        </is>
      </c>
      <c r="G151" s="190" t="inlineStr"/>
      <c r="H151" s="190" t="inlineStr">
        <is>
          <t>Queue as second large-branch test after Bhopal/Indore and one regional route are logged. Use chairman + secretary route and keep the ask to one practical member conversation on decision validation before client money moves.</t>
        </is>
      </c>
      <c r="I151" s="190" t="inlineStr">
        <is>
          <t>2026-05-03</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Follow up on the sent outreach and reopen the decision-validation angle with one concrete question tied to their audience, members, or last decision bottleneck.</t>
        </is>
      </c>
      <c r="I201" s="190" t="inlineStr">
        <is>
          <t>2026-05-04</t>
        </is>
      </c>
      <c r="J201" s="190" t="inlineStr">
        <is>
          <t>Active</t>
        </is>
      </c>
      <c r="K201" s="190" t="inlineStr">
        <is>
          <t>Email: shanu.goel@icai.in | [2026-05-02] Zoho sent: A practical capability for ICAI member | status=success | Source: Sent folder 8585832000000002022</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Follow up on the sent outreach and reopen the decision-validation angle with one concrete question tied to their audience, members, or last decision bottleneck.</t>
        </is>
      </c>
      <c r="I202" s="190" t="inlineStr">
        <is>
          <t>2026-05-04</t>
        </is>
      </c>
      <c r="J202" s="190" t="inlineStr">
        <is>
          <t>Active</t>
        </is>
      </c>
      <c r="K202" s="190" t="inlineStr">
        <is>
          <t>Email: abhishek@dandaca.com | [2026-05-02] Zoho sent: Before your clients invest — one gap | status=success | Source: Sent folder 8585832000000002022</t>
        </is>
      </c>
    </row>
    <row r="203">
      <c r="A203" s="190" t="inlineStr">
        <is>
          <t>SCR-EM-003</t>
        </is>
      </c>
      <c r="B203" s="190" t="inlineStr">
        <is>
          <t>Pratyush Nishantkar</t>
        </is>
      </c>
      <c r="C203" s="190" t="inlineStr">
        <is>
          <t>Collegedunia</t>
        </is>
      </c>
      <c r="D203" s="190" t="inlineStr">
        <is>
          <t>Association</t>
        </is>
      </c>
      <c r="E203" s="190" t="inlineStr">
        <is>
          <t>B</t>
        </is>
      </c>
      <c r="F203" s="190" t="inlineStr">
        <is>
          <t>Contacted</t>
        </is>
      </c>
      <c r="G203" s="190" t="inlineStr">
        <is>
          <t>2026-05-02</t>
        </is>
      </c>
      <c r="H203" s="190" t="inlineStr">
        <is>
          <t>Follow up on the sent outreach and reopen the decision-validation angle with one concrete question tied to their audience, members, or last decision bottleneck.</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 up on the sent outreach and reopen the decision-validation angle with one concrete question tied to their audience, members, or last decision bottleneck.</t>
        </is>
      </c>
      <c r="I204" s="190" t="inlineStr">
        <is>
          <t>2026-05-04</t>
        </is>
      </c>
      <c r="J204" s="190" t="inlineStr">
        <is>
          <t>Active</t>
        </is>
      </c>
      <c r="K204" s="190" t="inlineStr">
        <is>
          <t>Email: dushyant.chaturvedi@internshala.com | [2026-05-02] Zoho sent: After Internshala, what next? | status=success | Source: Sent folder 8585832000000002022</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 up on the sent outreach and reopen the decision-validation angle with one concrete question tied to their audience, members, or last decision bottleneck.</t>
        </is>
      </c>
      <c r="I205" s="190" t="inlineStr">
        <is>
          <t>2026-05-04</t>
        </is>
      </c>
      <c r="J205" s="190" t="inlineStr">
        <is>
          <t>Active</t>
        </is>
      </c>
      <c r="K205" s="190" t="inlineStr">
        <is>
          <t>Email: abuzar.jamal@collegedunia.com | [2026-05-02] Zoho sent: Extending revenue beyond college decisions | status=success | Source: Sent folder 8585832000000002022</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 up on the sent outreach and reopen the decision-validation angle with one concrete question tied to their audience, members, or last decision bottleneck.</t>
        </is>
      </c>
      <c r="I206" s="190" t="inlineStr">
        <is>
          <t>2026-05-04</t>
        </is>
      </c>
      <c r="J206" s="190" t="inlineStr">
        <is>
          <t>Active</t>
        </is>
      </c>
      <c r="K206" s="190" t="inlineStr">
        <is>
          <t>Email: praful.bele@collegedunia.com | [2026-05-02] Zoho sent: A revenue layer on top of your existing user base | status=success | Source: Sent folder 8585832000000002022</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 up on the sent outreach and reopen the decision-validation angle with one concrete question tied to their audience, members, or last decision bottleneck.</t>
        </is>
      </c>
      <c r="I207" s="190" t="inlineStr">
        <is>
          <t>2026-05-04</t>
        </is>
      </c>
      <c r="J207" s="190" t="inlineStr">
        <is>
          <t>Active</t>
        </is>
      </c>
      <c r="K207" s="190" t="inlineStr">
        <is>
          <t>Email: romeo.ghosh@nobroker.in | [2026-05-02] Zoho sent: Where your users hesitate before acting | status=success | Source: Sent folder 8585832000000002022</t>
        </is>
      </c>
    </row>
    <row r="208">
      <c r="A208" s="190" t="inlineStr">
        <is>
          <t>SCR-EM-008</t>
        </is>
      </c>
      <c r="B208" s="190" t="inlineStr">
        <is>
          <t>Kopal</t>
        </is>
      </c>
      <c r="C208" s="190" t="inlineStr">
        <is>
          <t>Internshala</t>
        </is>
      </c>
      <c r="D208" s="190" t="inlineStr">
        <is>
          <t>Association</t>
        </is>
      </c>
      <c r="E208" s="190" t="inlineStr">
        <is>
          <t>B</t>
        </is>
      </c>
      <c r="F208" s="190" t="inlineStr">
        <is>
          <t>Contacted</t>
        </is>
      </c>
      <c r="G208" s="190" t="inlineStr">
        <is>
          <t>2026-05-02</t>
        </is>
      </c>
      <c r="H208" s="190" t="inlineStr">
        <is>
          <t>Follow up on the sent outreach and reopen the decision-validation angle with one concrete question tied to their audience, members, or last decision bottleneck.</t>
        </is>
      </c>
      <c r="I208" s="190" t="inlineStr">
        <is>
          <t>2026-05-04</t>
        </is>
      </c>
      <c r="J208" s="190" t="inlineStr">
        <is>
          <t>Active</t>
        </is>
      </c>
      <c r="K208" s="190" t="inlineStr">
        <is>
          <t>Email: kopal@internshala.com | [2026-05-02] Zoho sent: When learning turns into real decisions | status=success | Source: Sent folder 8585832000000002022</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 up on the sent outreach and reopen the decision-validation angle with one concrete question tied to their audience, members, or last decision bottleneck.</t>
        </is>
      </c>
      <c r="I209" s="190" t="inlineStr">
        <is>
          <t>2026-05-04</t>
        </is>
      </c>
      <c r="J209" s="190" t="inlineStr">
        <is>
          <t>Active</t>
        </is>
      </c>
      <c r="K209" s="190" t="inlineStr">
        <is>
          <t>Email: bhargav.yellapragada@zomato.com | [2026-05-02] Zoho sent: A missing layer in high-intent transactions | status=success | Source: Sent folder 8585832000000002022</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Follow up on the sent outreach and reopen the decision-validation angle with one concrete question tied to their audience, members, or last decision bottleneck.</t>
        </is>
      </c>
      <c r="I210" s="190" t="inlineStr">
        <is>
          <t>2026-05-04</t>
        </is>
      </c>
      <c r="J210" s="190" t="inlineStr">
        <is>
          <t>Active</t>
        </is>
      </c>
      <c r="K210" s="190" t="inlineStr">
        <is>
          <t>Email: shilpi.srivastav@swiggy.in | [2026-05-02] Zoho sent: Where fast decisions reduce long-term value, Blinkit revenue sharing partnership proposal | status=hasretry | Source: Sent folder 8585832000000002022</t>
        </is>
      </c>
    </row>
    <row r="211">
      <c r="A211" s="190" t="inlineStr">
        <is>
          <t>SCR-EM-011</t>
        </is>
      </c>
      <c r="B211" s="190" t="inlineStr">
        <is>
          <t>Suhas Mishra</t>
        </is>
      </c>
      <c r="C211" s="190" t="inlineStr">
        <is>
          <t>Housing.com</t>
        </is>
      </c>
      <c r="D211" s="190" t="inlineStr">
        <is>
          <t>Association</t>
        </is>
      </c>
      <c r="E211" s="190" t="inlineStr">
        <is>
          <t>B</t>
        </is>
      </c>
      <c r="F211" s="190" t="inlineStr">
        <is>
          <t>Contacted</t>
        </is>
      </c>
      <c r="G211" s="190" t="inlineStr">
        <is>
          <t>2026-05-02</t>
        </is>
      </c>
      <c r="H211" s="190" t="inlineStr">
        <is>
          <t>Follow up on the sent outreach and reopen the decision-validation angle with one concrete question tied to their audience, members, or last decision bottleneck.</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 up on the sent outreach and reopen the decision-validation angle with one concrete question tied to their audience, members, or last decision bottleneck.</t>
        </is>
      </c>
      <c r="I212" s="190" t="inlineStr">
        <is>
          <t>2026-05-03</t>
        </is>
      </c>
      <c r="J212" s="190" t="inlineStr">
        <is>
          <t>Active</t>
        </is>
      </c>
      <c r="K212" s="190" t="inlineStr">
        <is>
          <t>Email: nikita.patankar@nobroker.in | [2026-05-01] Zoho sent: Extending decision-making beyond property discovery | status=success | Source: Sent folder 8585832000000002022</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Send MD-level owner note after current logged owner batch; open with the last commodity, capex, or working-capital decision that looked right before downside appeared.</t>
        </is>
      </c>
      <c r="I215" s="190" t="inlineStr">
        <is>
          <t>2026-05-03</t>
        </is>
      </c>
      <c r="J215" s="190" t="inlineStr">
        <is>
          <t>Active</t>
        </is>
      </c>
      <c r="K215" s="190" t="inlineStr">
        <is>
          <t>Channel: info@parvatisweetners.com; info@parvatisweetners.co.in | Phone 0755-4009254 | Contact: Poonam Chouksey | Chairperson &amp; Managing Director; Anupam Chouksey | Executive Director | Source: Official Parvati corporate information and market profile. | Decision_Gap: Sugar/bioethanol businesses carry procurement, commodity, capex, and cash-cycle decisions where confidence can outrun validation before money moves. | Tier A because listed manufacturing scale and named MD route are public; use after today's Tier A owner sends are logged.</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Send industrial-founder note to MD/chair route after logged owner batch; anchor on high-stakes project, vendor, and capex decisions that need validation before commitment.</t>
        </is>
      </c>
      <c r="I216" s="190" t="inlineStr">
        <is>
          <t>2026-05-03</t>
        </is>
      </c>
      <c r="J216" s="190" t="inlineStr">
        <is>
          <t>Active</t>
        </is>
      </c>
      <c r="K216" s="190" t="inlineStr">
        <is>
          <t>Channel: pscmd@geiind.com; cs@geiind.com | Phones +91-7554922011, +91-7554926350, +91-7554923011 | Contact: C E Fernandes | MD and Chairman; Bernard John | Joint/Whole-time MD route | Source: Official GEI site and public company profile. | Decision_Gap: Engineering/project businesses make expensive bid, capacity, vendor, and project-risk calls where a pre-action validation layer is commercially legible. | Tier A because public listed/industrial profile and leadership route are explicit.</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Send chairman/MD note after current Tier A sends are logged; frame around procurement, plant, and export decisions where a wrong call is expensive before it is visible.</t>
        </is>
      </c>
      <c r="I217" s="190" t="inlineStr">
        <is>
          <t>2026-05-03</t>
        </is>
      </c>
      <c r="J217" s="190" t="inlineStr">
        <is>
          <t>Active</t>
        </is>
      </c>
      <c r="K217" s="190" t="inlineStr">
        <is>
          <t>Channel: contact@cjgelatineproducts.com | Phone 91-7480-423301 | Contact: Jaspal Singh | Chairman and Managing Director; Harman Singh | Executive Director / Company Secretary route | Source: Official C.J. Gelatine directors and KMP page. | Decision_Gap: Specialty manufacturing creates procurement, plant-utilization, quality, and market-timing decisions where judgment needs stress-testing before capital is committed. | Tier A because public listed manufacturer with named chair/MD route.</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verify scale/fit by phone before promoting, then ask about the last tender/project decision that should have been stress-tested earlier.</t>
        </is>
      </c>
      <c r="I218" s="190" t="inlineStr">
        <is>
          <t>2026-05-04</t>
        </is>
      </c>
      <c r="J218" s="190" t="inlineStr">
        <is>
          <t>Waiting</t>
        </is>
      </c>
      <c r="K218" s="190" t="inlineStr">
        <is>
          <t>Channel: rakesh@autosignindustries.com; kamal@autosignindustries.com; info@autosignindustries.com | Phone 0755-4243311 | Contact: Rakesh Agrawal | Managing Director; Kamal Kishor Agrawal | Chairman | Source: Official Autosign contact page. | Decision_Gap: Road-safety and industrial supply decisions involve tenders, inventory, and project timing where owner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first verify scale and owner availability, then use a decision-gap opener around farmer equipment, dealer-credit,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Pushpendra Singh | Managing Director | Source: Official Farmila managing-director/contact page. | Decision_Gap: Agri-equipment businesses sit between dealer judgment and farmer capital decisions, making validation before purchase/action a practical angle. | Tier B pending scale validation; keep behind Tier A listed/industrial owner routes.</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sheetData>
  <mergeCells count="2">
    <mergeCell ref="A2:F2"/>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pwcvpl@hotmail.com; sumitlalwani66@gmail.com; svarliyani@gmail.com; yantrainfotech@gmail.com; kgbansal2@gmail.com; salesenquiry.ee@gmail.com; star.delta@rediffmail.com; sdtl.bhopal@gmail.com; vijay_bora@hotmail.com; contact@hindpharmaindia.com; sales@hindpharma.com; tesla@teslaindia.co; mktg@teslatransformers.com</t>
        </is>
      </c>
      <c r="C6" s="188" t="inlineStr">
        <is>
          <t>Kush</t>
        </is>
      </c>
      <c r="D6" s="189" t="inlineStr">
        <is>
          <t>2026-05-02</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send first-wave owner emails first. If logged today, use named industrial Tier A routes next: B.K., S.K., Electro Auto, T S Industrys, Cee Dee, Enterprising Engineers. Do not add generic inboxes to the same send.
Priority addendum: Enterprising Engineers now has direct MD/CEO/partner routes; new GIA industrial contacts stay queued until Tier A owner sends are logged.
Latest enrichment addendum: added Star Delta, Bora Brothers, Hind Pharma, and Tesla as public direct leadership routes. Send only after the earlier Tier A owner batch is logged, unless capacity allows a second owner batch today.
Latest enrichment addendum: Righill is now a Tier A director route; Sameer, Evergreen, Crown, Dawn, and S M Motors are queued public routes. Do not add queued Tier B contacts to the first send wave until logged owner sends or scale validation justify it.
Latest enrichment addendum: Kumaran and Kakda are now scale-supported Tier A routes. Use only after the current owner batch is logged; verify Kakda written email before any email send and keep the first touch on working-capital/procurement decision quality.
Latest enrichment addendum: direct public contact fields are now explicit in master rows for Righill, Sameer, Kumaran, and Kakda. Use Righill/Kumaran/Kakda only after current Tier A sends are logged; Sameer stays queued Tier B pending scale validation.
Overnight addendum: Parvati/GEI/C.J. Gelatine are now Tier A official leadership routes for the next controlled owner batch. Autosign/Farmila remain queued until scale is confirmed. Do not expand first-wave recipients until current owner sends are logged.</t>
        </is>
      </c>
    </row>
    <row r="7">
      <c r="A7" s="188" t="inlineStr">
        <is>
          <t>CA Associations</t>
        </is>
      </c>
      <c r="B7" s="188" t="inlineStr">
        <is>
          <t>arpit.rai07@gmail.com; caabhishek108@gmail.com; DHANUKA_RAJ17@YAHOO.CO.IN; milind.wadhwani20@gmail.com; bhopal@icai.org; indore@icai.in; govind.agarwal@icai.in; circ@icai.in</t>
        </is>
      </c>
      <c r="C7" s="188" t="inlineStr">
        <is>
          <t>Kush</t>
        </is>
      </c>
      <c r="D7" s="189" t="inlineStr">
        <is>
          <t>2026-05-02</t>
        </is>
      </c>
      <c r="E7" s="189" t="inlineStr">
        <is>
          <t>2026-05-04</t>
        </is>
      </c>
      <c r="F7" s="189" t="inlineStr">
        <is>
          <t>2026-05-06</t>
        </is>
      </c>
      <c r="G7" s="189" t="inlineStr">
        <is>
          <t>2026-05-09</t>
        </is>
      </c>
      <c r="H7" s="188" t="inlineStr">
        <is>
          <t>A question about client decisions that go wrong</t>
        </is>
      </c>
      <c r="I7" s="188" t="inlineStr">
        <is>
          <t>Hello [Association Leader],
CAs often see the same pattern before damage shows up: a client had information, had confidence, and still made the wrong money decision because the thinking itself was never validated.
What was the last client decision your members saw go wrong even though the client believed they had done enough homework?
That is the gap Fnomo is built around: decision validation before capital is committed. I would like to explore whether this can create practical member value for your branch.
Kush
Operator note: send chair/secretary first; use CPE chapter routes only after first-wave touches or Follow-up 1. Keep the ask around client decisions that looked informed but were not validated.
Priority addendum: use CA Govind Agarwal only as a regional routing path after Bhopal/Indore chair-secretary touches.
CIRC regional council addendum: CA Ankur Goyal, CA Ankush Jain, and CA Nirbhik Gandhi are verified regional escalation routes. Use only after Bhopal/Indore chair-secretary touches or if local ownership is unclear.
Latest enrichment addendum: Lucknow and Varanasi CIRC branches are verified 2025-2026 large-branch expansion routes. Keep them queued behind Bhopal/Indore chair-secretary touches and CIRC regional routing.
Latest enrichment addendum: CIRC regional, Lucknow, and Varanasi rows now include direct public mobiles/emails. Keep Bhopal/Indore chair-secretary first; use regional/large-branch routes only after first-wave touches are logged or routing stalls.
Overnight addendum: Raipur/Jaipur CIRC chair-secretary contacts are now queued expansion routes. Keep Bhopal/Indore and CIRC regional follow-up first; use larger branches only after first-wave action is logged or routing stalls.</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sheetData>
  <mergeCells count="2">
    <mergeCell ref="A2:G2"/>
    <mergeCell ref="A1:G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sheetData>
  <mergeCells count="2">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2026-05-02T11:59:54Z</dcterms:modified>
</cp:coreProperties>
</file>