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7.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NOMO_CURRENT_PROGRESS" sheetId="1" state="visible" r:id="rId1"/>
    <sheet xmlns:r="http://schemas.openxmlformats.org/officeDocument/2006/relationships" name="Outreach_Database" sheetId="2" state="visible" r:id="rId2"/>
    <sheet xmlns:r="http://schemas.openxmlformats.org/officeDocument/2006/relationships" name="GTM_Schedule" sheetId="3" state="visible" r:id="rId3"/>
    <sheet xmlns:r="http://schemas.openxmlformats.org/officeDocument/2006/relationships" name="Calc_Engine" sheetId="4" state="visible" r:id="rId4"/>
    <sheet xmlns:r="http://schemas.openxmlformats.org/officeDocument/2006/relationships" name="Dashboard" sheetId="5" state="visible" r:id="rId5"/>
    <sheet xmlns:r="http://schemas.openxmlformats.org/officeDocument/2006/relationships" name="Influencer Hit List" sheetId="6" state="visible" r:id="rId6"/>
    <sheet xmlns:r="http://schemas.openxmlformats.org/officeDocument/2006/relationships" name="Referral &amp; Revenue Tracker" sheetId="7" state="visible" r:id="rId7"/>
    <sheet xmlns:r="http://schemas.openxmlformats.org/officeDocument/2006/relationships" name="Social Proof Repository" sheetId="8" state="visible" r:id="rId8"/>
    <sheet xmlns:r="http://schemas.openxmlformats.org/officeDocument/2006/relationships" name="Corporate Pilot Outreach" sheetId="9" state="visible" r:id="rId9"/>
    <sheet xmlns:r="http://schemas.openxmlformats.org/officeDocument/2006/relationships" name="Telegram_War_Room" sheetId="10" state="visible" r:id="rId10"/>
    <sheet xmlns:r="http://schemas.openxmlformats.org/officeDocument/2006/relationships" name="Reddit_War_Room" sheetId="11" state="visible" r:id="rId11"/>
    <sheet xmlns:r="http://schemas.openxmlformats.org/officeDocument/2006/relationships" name="Institutional School Outreach" sheetId="12" state="visible" r:id="rId12"/>
    <sheet xmlns:r="http://schemas.openxmlformats.org/officeDocument/2006/relationships" name="influential_data_for _corporate" sheetId="13" state="visible" r:id="rId13"/>
    <sheet xmlns:r="http://schemas.openxmlformats.org/officeDocument/2006/relationships" name="To do" sheetId="14" state="visible" r:id="rId14"/>
    <sheet xmlns:r="http://schemas.openxmlformats.org/officeDocument/2006/relationships" name="FNOMO_MASTER_PIPELINE" sheetId="15" state="visible" r:id="rId15"/>
    <sheet xmlns:r="http://schemas.openxmlformats.org/officeDocument/2006/relationships" name="FNOMO_TASK_MAP" sheetId="16" state="visible" r:id="rId16"/>
    <sheet xmlns:r="http://schemas.openxmlformats.org/officeDocument/2006/relationships" name="FNOMO_EXECUTION_LOG" sheetId="17" state="visible" r:id="rId17"/>
    <sheet xmlns:r="http://schemas.openxmlformats.org/officeDocument/2006/relationships" name="FNOMO_EXECUTION_TASKS" sheetId="18" state="visible" r:id="rId18"/>
    <sheet xmlns:r="http://schemas.openxmlformats.org/officeDocument/2006/relationships" name="FNOMO_OUTREACH_READY" sheetId="19" state="visible" r:id="rId19"/>
    <sheet xmlns:r="http://schemas.openxmlformats.org/officeDocument/2006/relationships" name="FNOMO_EXECUTION_HISTORY" sheetId="20" state="visible" r:id="rId20"/>
    <sheet xmlns:r="http://schemas.openxmlformats.org/officeDocument/2006/relationships" name="WHATSAPP_CA_LEADS" sheetId="21" state="visible" r:id="rId21"/>
    <sheet xmlns:r="http://schemas.openxmlformats.org/officeDocument/2006/relationships" name="FOUNDER_ACTIVATION_DASHBOARD" sheetId="22" state="visible" r:id="rId22"/>
  </sheets>
  <definedNames>
    <definedName name="_xlnm._FilterDatabase" localSheetId="2" hidden="1">'GTM_Schedule'!$B$4:$J$40</definedName>
    <definedName name="_xlnm._FilterDatabase" localSheetId="13" hidden="1">'To do'!$A$1:$K$37</definedName>
  </definedNames>
  <calcPr calcId="124519" calcMode="auto" fullCalcOnLoad="1" forceFullCalc="1"/>
</workbook>
</file>

<file path=xl/styles.xml><?xml version="1.0" encoding="utf-8"?>
<styleSheet xmlns="http://schemas.openxmlformats.org/spreadsheetml/2006/main">
  <numFmts count="3">
    <numFmt numFmtId="164" formatCode="m/d/yyyy"/>
    <numFmt numFmtId="165" formatCode="\₹#,##0.00"/>
    <numFmt numFmtId="166" formatCode="yyyy-mm-dd"/>
  </numFmts>
  <fonts count="52">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
      <name val="Calibri"/>
      <color rgb="00000000"/>
      <sz val="11"/>
    </font>
    <font>
      <name val="Calibri"/>
      <b val="1"/>
      <color rgb="00FFFFFF"/>
      <sz val="11"/>
    </font>
    <font>
      <name val="Calibri"/>
      <b val="1"/>
      <color rgb="001F1F1F"/>
      <sz val="16"/>
    </font>
    <font>
      <name val="Calibri"/>
      <b val="1"/>
      <sz val="11"/>
    </font>
    <font>
      <name val="Calibri"/>
      <i val="1"/>
      <color rgb="005B6770"/>
      <sz val="10"/>
    </font>
    <font>
      <name val="Calibri"/>
      <b val="1"/>
      <color rgb="00FFFFFF"/>
      <sz val="16"/>
    </font>
    <font>
      <name val="Calibri"/>
      <i val="1"/>
      <color rgb="00DDE7EF"/>
      <sz val="10"/>
    </font>
    <font>
      <name val="Calibri"/>
      <i val="1"/>
      <color rgb="00405261"/>
      <sz val="10"/>
    </font>
    <font>
      <name val="Calibri"/>
      <b val="1"/>
      <color rgb="005B6770"/>
      <sz val="10"/>
    </font>
    <font>
      <name val="Calibri"/>
      <b val="1"/>
      <color rgb="00FFFFFF"/>
      <sz val="18"/>
    </font>
    <font>
      <name val="Calibri"/>
      <i val="1"/>
      <color rgb="00DCE8F2"/>
      <sz val="10"/>
    </font>
    <font>
      <name val="Calibri"/>
      <b val="1"/>
      <color rgb="001F1F1F"/>
      <sz val="18"/>
    </font>
    <font>
      <b val="1"/>
      <color rgb="00405261"/>
    </font>
    <font>
      <b val="1"/>
      <color rgb="00FFFFFF"/>
    </font>
    <font>
      <b val="1"/>
      <color rgb="00FFFFFF"/>
      <sz val="16"/>
    </font>
    <font>
      <b val="1"/>
    </font>
    <font>
      <b val="1"/>
      <color rgb="00FFFFFF"/>
      <sz val="14"/>
    </font>
    <font>
      <name val="Calibri"/>
      <sz val="11"/>
    </font>
  </fonts>
  <fills count="76">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
      <patternFill patternType="solid">
        <fgColor rgb="001F4E78"/>
      </patternFill>
    </fill>
    <fill>
      <patternFill patternType="solid">
        <fgColor rgb="00D9EAF7"/>
      </patternFill>
    </fill>
    <fill>
      <patternFill patternType="solid">
        <fgColor rgb="00FCE4D6"/>
      </patternFill>
    </fill>
    <fill>
      <patternFill patternType="solid">
        <fgColor rgb="00E2F0D9"/>
      </patternFill>
    </fill>
    <fill>
      <patternFill patternType="solid">
        <fgColor rgb="00FFF2CC"/>
      </patternFill>
    </fill>
    <fill>
      <patternFill patternType="solid">
        <fgColor rgb="00D9EAD3"/>
      </patternFill>
    </fill>
    <fill>
      <patternFill patternType="solid">
        <fgColor rgb="00EAD1DC"/>
      </patternFill>
    </fill>
    <fill>
      <patternFill patternType="solid">
        <fgColor rgb="00D9D2E9"/>
      </patternFill>
    </fill>
    <fill>
      <patternFill patternType="solid">
        <fgColor rgb="00173F5F"/>
      </patternFill>
    </fill>
    <fill>
      <patternFill patternType="solid">
        <fgColor rgb="00EAF2F8"/>
      </patternFill>
    </fill>
    <fill>
      <patternFill patternType="solid">
        <fgColor rgb="00FDE9D9"/>
      </patternFill>
    </fill>
    <fill>
      <patternFill patternType="solid">
        <fgColor rgb="00D9E2F3"/>
      </patternFill>
    </fill>
    <fill>
      <patternFill patternType="solid">
        <fgColor rgb="0012344D"/>
      </patternFill>
    </fill>
    <fill>
      <patternFill patternType="solid">
        <fgColor rgb="00EEF4F8"/>
      </patternFill>
    </fill>
    <fill>
      <patternFill patternType="solid">
        <fgColor rgb="00F3F6F8"/>
      </patternFill>
    </fill>
    <fill>
      <patternFill patternType="solid">
        <fgColor rgb="00E7F0FB"/>
      </patternFill>
    </fill>
    <fill>
      <patternFill patternType="solid">
        <fgColor rgb="00EAF0F6"/>
      </patternFill>
    </fill>
    <fill>
      <patternFill patternType="solid">
        <fgColor rgb="00E4F4EA"/>
      </patternFill>
    </fill>
    <fill>
      <patternFill patternType="solid">
        <fgColor rgb="00FBE6E7"/>
      </patternFill>
    </fill>
    <fill>
      <patternFill patternType="solid">
        <fgColor rgb="00FFF3D6"/>
      </patternFill>
    </fill>
    <fill>
      <patternFill patternType="solid">
        <fgColor rgb="00FDEBDD"/>
      </patternFill>
    </fill>
    <fill>
      <patternFill patternType="solid">
        <fgColor rgb="00305496"/>
      </patternFill>
    </fill>
    <fill>
      <patternFill patternType="solid">
        <fgColor rgb="001F4E79"/>
      </patternFill>
    </fill>
    <fill>
      <patternFill patternType="solid">
        <fgColor rgb="00F4CCCC"/>
      </patternFill>
    </fill>
  </fills>
  <borders count="29">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
      <left style="thin">
        <color rgb="00B7B7B7"/>
      </left>
      <right style="thin">
        <color rgb="00B7B7B7"/>
      </right>
      <top style="thin">
        <color rgb="00B7B7B7"/>
      </top>
      <bottom style="thin">
        <color rgb="00B7B7B7"/>
      </bottom>
    </border>
    <border>
      <left style="thin">
        <color rgb="00B7C0CC"/>
      </left>
      <right style="thin">
        <color rgb="00B7C0CC"/>
      </right>
      <top style="thin">
        <color rgb="00B7C0CC"/>
      </top>
      <bottom style="thin">
        <color rgb="00B7C0CC"/>
      </bottom>
    </border>
    <border>
      <top style="thin">
        <color rgb="00B7C0CC"/>
      </top>
    </border>
    <border>
      <left style="thin">
        <color rgb="00B7C0CC"/>
      </left>
    </border>
    <border>
      <right style="thin">
        <color rgb="00B7C0CC"/>
      </right>
      <top style="thin">
        <color rgb="00B7C0CC"/>
      </top>
    </border>
    <border>
      <right style="thin">
        <color rgb="00B7C0CC"/>
      </right>
    </border>
    <border>
      <left style="thin">
        <color rgb="00B7C0CC"/>
      </left>
      <bottom style="thin">
        <color rgb="00B7C0CC"/>
      </bottom>
    </border>
    <border>
      <bottom style="thin">
        <color rgb="00B7C0CC"/>
      </bottom>
    </border>
    <border>
      <right style="thin">
        <color rgb="00B7C0CC"/>
      </right>
      <bottom style="thin">
        <color rgb="00B7C0CC"/>
      </bottom>
    </border>
    <border>
      <left style="thin">
        <color rgb="00D6DDE5"/>
      </left>
      <right style="thin">
        <color rgb="00D6DDE5"/>
      </right>
      <top style="thin">
        <color rgb="00D6DDE5"/>
      </top>
      <bottom style="thin">
        <color rgb="00D6DDE5"/>
      </bottom>
    </border>
    <border>
      <left style="thin">
        <color rgb="00E8EDF2"/>
      </left>
      <right style="thin">
        <color rgb="00E8EDF2"/>
      </right>
      <top style="thin">
        <color rgb="00E8EDF2"/>
      </top>
      <bottom style="thin">
        <color rgb="00E8EDF2"/>
      </bottom>
    </border>
    <border>
      <top style="thin">
        <color rgb="00E8EDF2"/>
      </top>
    </border>
    <border>
      <right style="thin">
        <color rgb="00E8EDF2"/>
      </right>
      <top style="thin">
        <color rgb="00E8EDF2"/>
      </top>
    </border>
    <border>
      <top style="thin">
        <color rgb="00E8EDF2"/>
      </top>
      <bottom style="thin">
        <color rgb="00E8EDF2"/>
      </bottom>
    </border>
    <border>
      <right style="thin">
        <color rgb="00E8EDF2"/>
      </right>
      <top style="thin">
        <color rgb="00E8EDF2"/>
      </top>
      <bottom style="thin">
        <color rgb="00E8EDF2"/>
      </bottom>
    </border>
    <border>
      <top style="thin">
        <color rgb="00D6DDE5"/>
      </top>
    </border>
    <border>
      <right style="thin">
        <color rgb="00D6DDE5"/>
      </right>
      <top style="thin">
        <color rgb="00D6DDE5"/>
      </top>
    </border>
    <border>
      <top style="thin">
        <color rgb="00D6DDE5"/>
      </top>
      <bottom style="thin">
        <color rgb="00D6DDE5"/>
      </bottom>
    </border>
    <border>
      <right style="thin">
        <color rgb="00D6DDE5"/>
      </right>
      <top style="thin">
        <color rgb="00D6DDE5"/>
      </top>
      <bottom style="thin">
        <color rgb="00D6DDE5"/>
      </bottom>
    </border>
    <border>
      <left style="thin">
        <color rgb="00D6DDE5"/>
      </left>
    </border>
    <border>
      <right style="thin">
        <color rgb="00D6DDE5"/>
      </right>
    </border>
    <border>
      <left style="thin">
        <color rgb="00D6DDE5"/>
      </left>
      <bottom style="thin">
        <color rgb="00D6DDE5"/>
      </bottom>
    </border>
    <border>
      <bottom style="thin">
        <color rgb="00D6DDE5"/>
      </bottom>
    </border>
    <border>
      <right style="thin">
        <color rgb="00D6DDE5"/>
      </right>
      <bottom style="thin">
        <color rgb="00D6DDE5"/>
      </bottom>
    </border>
    <border>
      <left style="thin">
        <color rgb="00D9E2F3"/>
      </left>
      <right style="thin">
        <color rgb="00D9E2F3"/>
      </right>
      <top style="thin">
        <color rgb="00D9E2F3"/>
      </top>
      <bottom style="thin">
        <color rgb="00D9E2F3"/>
      </bottom>
    </border>
  </borders>
  <cellStyleXfs count="2">
    <xf numFmtId="0" fontId="26" fillId="0" borderId="0"/>
    <xf numFmtId="0" fontId="22" fillId="0" borderId="0"/>
  </cellStyleXfs>
  <cellXfs count="277">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xf numFmtId="0" fontId="26" fillId="0" borderId="0" pivotButton="0" quotePrefix="0" xfId="0"/>
    <xf numFmtId="0" fontId="0" fillId="0" borderId="0" applyAlignment="1" pivotButton="0" quotePrefix="0" xfId="0">
      <alignment vertical="top" wrapText="1"/>
    </xf>
    <xf numFmtId="166" fontId="0" fillId="0" borderId="0" applyAlignment="1" pivotButton="0" quotePrefix="0" xfId="0">
      <alignment vertical="top" wrapText="1"/>
    </xf>
    <xf numFmtId="0" fontId="26" fillId="0" borderId="0" applyAlignment="1" pivotButton="0" quotePrefix="0" xfId="0">
      <alignment vertical="top" wrapText="1"/>
    </xf>
    <xf numFmtId="0" fontId="36" fillId="0" borderId="0" applyAlignment="1" pivotButton="0" quotePrefix="0" xfId="0">
      <alignment vertical="top" wrapText="1"/>
    </xf>
    <xf numFmtId="0" fontId="35" fillId="52" borderId="4" applyAlignment="1" pivotButton="0" quotePrefix="0" xfId="0">
      <alignment horizontal="center" vertical="center" wrapText="1"/>
    </xf>
    <xf numFmtId="0" fontId="37" fillId="53" borderId="4" applyAlignment="1" pivotButton="0" quotePrefix="0" xfId="0">
      <alignment horizontal="left" vertical="center" wrapText="1"/>
    </xf>
    <xf numFmtId="0" fontId="34" fillId="54" borderId="4" applyAlignment="1" pivotButton="0" quotePrefix="0" xfId="0">
      <alignment horizontal="left" vertical="center" wrapText="1"/>
    </xf>
    <xf numFmtId="0" fontId="34" fillId="0" borderId="4" applyAlignment="1" pivotButton="0" quotePrefix="0" xfId="0">
      <alignment horizontal="left" vertical="center" wrapText="1"/>
    </xf>
    <xf numFmtId="0" fontId="34" fillId="55" borderId="4" applyAlignment="1" pivotButton="0" quotePrefix="0" xfId="0">
      <alignment horizontal="left" vertical="center" wrapText="1"/>
    </xf>
    <xf numFmtId="0" fontId="34" fillId="56" borderId="4" applyAlignment="1" pivotButton="0" quotePrefix="0" xfId="0">
      <alignment horizontal="left" vertical="center" wrapText="1"/>
    </xf>
    <xf numFmtId="0" fontId="34" fillId="57" borderId="4" applyAlignment="1" pivotButton="0" quotePrefix="0" xfId="0">
      <alignment horizontal="left" vertical="center" wrapText="1"/>
    </xf>
    <xf numFmtId="0" fontId="34" fillId="58" borderId="4" applyAlignment="1" pivotButton="0" quotePrefix="0" xfId="0">
      <alignment horizontal="left" vertical="center" wrapText="1"/>
    </xf>
    <xf numFmtId="0" fontId="34" fillId="59" borderId="4" applyAlignment="1" pivotButton="0" quotePrefix="0" xfId="0">
      <alignment horizontal="left" vertical="center" wrapText="1"/>
    </xf>
    <xf numFmtId="0" fontId="34"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38" fillId="0" borderId="0" applyAlignment="1" pivotButton="0" quotePrefix="0" xfId="0">
      <alignment horizontal="left" vertical="center" wrapText="1"/>
    </xf>
    <xf numFmtId="0" fontId="35" fillId="60" borderId="5" applyAlignment="1" pivotButton="0" quotePrefix="0" xfId="0">
      <alignment horizontal="center" vertical="center" wrapText="1"/>
    </xf>
    <xf numFmtId="0" fontId="37" fillId="61" borderId="5" applyAlignment="1" pivotButton="0" quotePrefix="0" xfId="0">
      <alignment horizontal="left" vertical="center" wrapText="1"/>
    </xf>
    <xf numFmtId="0" fontId="34" fillId="54" borderId="5" applyAlignment="1" pivotButton="0" quotePrefix="0" xfId="0">
      <alignment horizontal="left" vertical="center" wrapText="1"/>
    </xf>
    <xf numFmtId="0" fontId="34" fillId="0" borderId="5" applyAlignment="1" pivotButton="0" quotePrefix="0" xfId="0">
      <alignment horizontal="left" vertical="center" wrapText="1"/>
    </xf>
    <xf numFmtId="0" fontId="34" fillId="56" borderId="5" applyAlignment="1" pivotButton="0" quotePrefix="0" xfId="0">
      <alignment horizontal="left" vertical="center" wrapText="1"/>
    </xf>
    <xf numFmtId="9" fontId="34" fillId="0" borderId="5" applyAlignment="1" pivotButton="0" quotePrefix="0" xfId="0">
      <alignment horizontal="left" vertical="center" wrapText="1"/>
    </xf>
    <xf numFmtId="0" fontId="34" fillId="62" borderId="5" applyAlignment="1" pivotButton="0" quotePrefix="0" xfId="0">
      <alignment horizontal="left" vertical="center" wrapText="1"/>
    </xf>
    <xf numFmtId="0" fontId="34" fillId="57" borderId="5" applyAlignment="1" pivotButton="0" quotePrefix="0" xfId="0">
      <alignment horizontal="left" vertical="center" wrapText="1"/>
    </xf>
    <xf numFmtId="0" fontId="34" fillId="55" borderId="5" applyAlignment="1" pivotButton="0" quotePrefix="0" xfId="0">
      <alignment horizontal="left" vertical="center" wrapText="1"/>
    </xf>
    <xf numFmtId="0" fontId="34" fillId="63" borderId="5" applyAlignment="1" pivotButton="0" quotePrefix="0" xfId="0">
      <alignment horizontal="left" vertical="center" wrapText="1"/>
    </xf>
    <xf numFmtId="0" fontId="34" fillId="58" borderId="5" applyAlignment="1" pivotButton="0" quotePrefix="0" xfId="0">
      <alignment horizontal="left" vertical="center" wrapText="1"/>
    </xf>
    <xf numFmtId="0" fontId="34" fillId="59" borderId="5" applyAlignment="1" pivotButton="0" quotePrefix="0" xfId="0">
      <alignment horizontal="left" vertical="center" wrapText="1"/>
    </xf>
    <xf numFmtId="0" fontId="39" fillId="64" borderId="0" applyAlignment="1" pivotButton="0" quotePrefix="0" xfId="0">
      <alignment horizontal="left" vertical="center" wrapText="1"/>
    </xf>
    <xf numFmtId="0" fontId="40" fillId="64" borderId="0" applyAlignment="1" pivotButton="0" quotePrefix="0" xfId="0">
      <alignment horizontal="left" vertical="center" wrapText="1"/>
    </xf>
    <xf numFmtId="0" fontId="42" fillId="0" borderId="0" applyAlignment="1" pivotButton="0" quotePrefix="0" xfId="0">
      <alignment horizontal="left" vertical="center" wrapText="1"/>
    </xf>
    <xf numFmtId="9" fontId="36" fillId="61" borderId="5" applyAlignment="1" pivotButton="0" quotePrefix="0" xfId="0">
      <alignment horizontal="center" vertical="center"/>
    </xf>
    <xf numFmtId="1" fontId="36" fillId="61" borderId="5" applyAlignment="1" pivotButton="0" quotePrefix="0" xfId="0">
      <alignment horizontal="center" vertical="center"/>
    </xf>
    <xf numFmtId="1" fontId="36" fillId="55" borderId="5" applyAlignment="1" pivotButton="0" quotePrefix="0" xfId="0">
      <alignment horizontal="center" vertical="center"/>
    </xf>
    <xf numFmtId="1" fontId="36" fillId="62" borderId="5" applyAlignment="1" pivotButton="0" quotePrefix="0" xfId="0">
      <alignment horizontal="center" vertical="center"/>
    </xf>
    <xf numFmtId="1" fontId="36" fillId="63" borderId="5" applyAlignment="1" pivotButton="0" quotePrefix="0" xfId="0">
      <alignment horizontal="center" vertical="center"/>
    </xf>
    <xf numFmtId="1" fontId="36" fillId="56" borderId="5" applyAlignment="1" pivotButton="0" quotePrefix="0" xfId="0">
      <alignment horizontal="center" vertical="center"/>
    </xf>
    <xf numFmtId="1" fontId="36" fillId="66" borderId="5" applyAlignment="1" pivotButton="0" quotePrefix="0" xfId="0">
      <alignment horizontal="center" vertical="center"/>
    </xf>
    <xf numFmtId="1" fontId="36" fillId="54" borderId="5" applyAlignment="1" pivotButton="0" quotePrefix="0" xfId="0">
      <alignment horizontal="center" vertical="center"/>
    </xf>
    <xf numFmtId="0" fontId="35" fillId="60" borderId="5" applyAlignment="1" pivotButton="0" quotePrefix="0" xfId="0">
      <alignment horizontal="left" vertical="center" wrapText="1"/>
    </xf>
    <xf numFmtId="0" fontId="41" fillId="65" borderId="0" applyAlignment="1" pivotButton="0" quotePrefix="0" xfId="0">
      <alignment horizontal="left" vertical="center" wrapText="1"/>
    </xf>
    <xf numFmtId="0" fontId="0" fillId="0" borderId="6"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43" fillId="64" borderId="0" applyAlignment="1" pivotButton="0" quotePrefix="0" xfId="0">
      <alignment horizontal="left" vertical="center"/>
    </xf>
    <xf numFmtId="0" fontId="44" fillId="64" borderId="0" applyAlignment="1" pivotButton="0" quotePrefix="0" xfId="0">
      <alignment horizontal="left" vertical="center" wrapText="1"/>
    </xf>
    <xf numFmtId="9" fontId="45" fillId="67" borderId="13" applyAlignment="1" pivotButton="0" quotePrefix="0" xfId="0">
      <alignment horizontal="center" vertical="center"/>
    </xf>
    <xf numFmtId="1" fontId="45" fillId="68" borderId="13" applyAlignment="1" pivotButton="0" quotePrefix="0" xfId="0">
      <alignment horizontal="center" vertical="center"/>
    </xf>
    <xf numFmtId="1" fontId="45" fillId="69" borderId="13" applyAlignment="1" pivotButton="0" quotePrefix="0" xfId="0">
      <alignment horizontal="center" vertical="center"/>
    </xf>
    <xf numFmtId="1" fontId="45" fillId="70" borderId="13" applyAlignment="1" pivotButton="0" quotePrefix="0" xfId="0">
      <alignment horizontal="center" vertical="center"/>
    </xf>
    <xf numFmtId="0" fontId="36" fillId="67" borderId="13" applyAlignment="1" pivotButton="0" quotePrefix="0" xfId="0">
      <alignment horizontal="center" vertical="center"/>
    </xf>
    <xf numFmtId="0" fontId="36" fillId="71" borderId="13" applyAlignment="1" pivotButton="0" quotePrefix="0" xfId="0">
      <alignment horizontal="center" vertical="center"/>
    </xf>
    <xf numFmtId="0" fontId="36" fillId="70" borderId="13" applyAlignment="1" pivotButton="0" quotePrefix="0" xfId="0">
      <alignment horizontal="center" vertical="center"/>
    </xf>
    <xf numFmtId="0" fontId="36" fillId="72" borderId="13" applyAlignment="1" pivotButton="0" quotePrefix="0" xfId="0">
      <alignment horizontal="center" vertical="center"/>
    </xf>
    <xf numFmtId="0" fontId="35" fillId="60" borderId="13" applyAlignment="1" pivotButton="0" quotePrefix="0" xfId="0">
      <alignment horizontal="left" vertical="center"/>
    </xf>
    <xf numFmtId="0" fontId="46" fillId="68" borderId="14" applyAlignment="1" pivotButton="0" quotePrefix="0" xfId="0">
      <alignment horizontal="left" vertical="center" wrapText="1"/>
    </xf>
    <xf numFmtId="0" fontId="34" fillId="0" borderId="14" applyAlignment="1" pivotButton="0" quotePrefix="0" xfId="0">
      <alignment horizontal="left" vertical="center"/>
    </xf>
    <xf numFmtId="9" fontId="34" fillId="0" borderId="14" applyAlignment="1" pivotButton="0" quotePrefix="0" xfId="0">
      <alignment horizontal="left" vertical="center"/>
    </xf>
    <xf numFmtId="0" fontId="34" fillId="0" borderId="14" applyAlignment="1" pivotButton="0" quotePrefix="0" xfId="0">
      <alignment horizontal="left" vertical="center" wrapText="1"/>
    </xf>
    <xf numFmtId="9" fontId="34" fillId="0" borderId="14"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1" pivotButton="0" quotePrefix="0" xfId="0"/>
    <xf numFmtId="0" fontId="0" fillId="0" borderId="22" pivotButton="0" quotePrefix="0" xfId="0"/>
    <xf numFmtId="0" fontId="47" fillId="52" borderId="0" applyAlignment="1" pivotButton="0" quotePrefix="0" xfId="0">
      <alignment horizontal="center"/>
    </xf>
    <xf numFmtId="0" fontId="48" fillId="52" borderId="0" pivotButton="0" quotePrefix="0" xfId="0"/>
    <xf numFmtId="0" fontId="47" fillId="73" borderId="0" pivotButton="0" quotePrefix="0" xfId="0"/>
    <xf numFmtId="0" fontId="49" fillId="64" borderId="0" applyAlignment="1" pivotButton="0" quotePrefix="0" xfId="0">
      <alignment horizontal="left" vertical="center"/>
    </xf>
    <xf numFmtId="0" fontId="49" fillId="0" borderId="0" applyAlignment="1" pivotButton="0" quotePrefix="0" xfId="0">
      <alignment horizontal="left" vertical="center" wrapText="1"/>
    </xf>
    <xf numFmtId="0" fontId="50" fillId="74" borderId="0" applyAlignment="1" pivotButton="0" quotePrefix="0" xfId="0">
      <alignment horizontal="center"/>
    </xf>
    <xf numFmtId="0" fontId="47" fillId="74" borderId="28" applyAlignment="1" pivotButton="0" quotePrefix="0" xfId="0">
      <alignment vertical="top" wrapText="1"/>
    </xf>
    <xf numFmtId="0" fontId="0" fillId="0" borderId="28" applyAlignment="1" pivotButton="0" quotePrefix="0" xfId="0">
      <alignment vertical="top" wrapText="1"/>
    </xf>
    <xf numFmtId="0" fontId="0" fillId="55" borderId="28" applyAlignment="1" pivotButton="0" quotePrefix="0" xfId="0">
      <alignment vertical="top" wrapText="1"/>
    </xf>
    <xf numFmtId="0" fontId="0" fillId="53" borderId="28" applyAlignment="1" pivotButton="0" quotePrefix="0" xfId="0">
      <alignment vertical="top" wrapText="1"/>
    </xf>
    <xf numFmtId="0" fontId="0" fillId="75" borderId="28" applyAlignment="1" pivotButton="0" quotePrefix="0" xfId="0">
      <alignment vertical="top" wrapText="1"/>
    </xf>
    <xf numFmtId="0" fontId="0" fillId="56" borderId="28" applyAlignment="1" pivotButton="0" quotePrefix="0" xfId="0">
      <alignment vertical="top" wrapText="1"/>
    </xf>
    <xf numFmtId="0" fontId="50" fillId="74" borderId="0" pivotButton="0" quotePrefix="0" xfId="0"/>
    <xf numFmtId="0" fontId="37" fillId="53" borderId="0" pivotButton="0" quotePrefix="0" xfId="0"/>
    <xf numFmtId="0" fontId="51" fillId="0" borderId="0" pivotButton="0" quotePrefix="0" xfId="0"/>
    <xf numFmtId="14" fontId="51" fillId="0" borderId="0" pivotButton="0" quotePrefix="0" xfId="0"/>
  </cellXfs>
  <cellStyles count="2">
    <cellStyle name="Normal" xfId="0"/>
    <cellStyle name="Hyperlink" xfId="1"/>
  </cellStyles>
  <dxfs count="28">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
      <fill>
        <patternFill patternType="solid">
          <fgColor rgb="00D9EAD3"/>
        </patternFill>
      </fill>
    </dxf>
    <dxf>
      <fill>
        <patternFill patternType="solid">
          <fgColor rgb="00D9E2F3"/>
        </patternFill>
      </fill>
    </dxf>
    <dxf>
      <fill>
        <patternFill patternType="solid">
          <fgColor rgb="00FFF2CC"/>
        </patternFill>
      </fill>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Status Mix</a:t>
            </a:r>
          </a:p>
        </rich>
      </tx>
    </title>
    <plotArea>
      <doughnutChart>
        <varyColors val="1"/>
        <ser>
          <idx val="0"/>
          <order val="0"/>
          <tx>
            <strRef>
              <f>'Dashboard'!C15</f>
            </strRef>
          </tx>
          <spPr>
            <a:ln xmlns:a="http://schemas.openxmlformats.org/drawingml/2006/main">
              <a:prstDash val="solid"/>
            </a:ln>
          </spPr>
          <cat>
            <numRef>
              <f>'Dashboard'!$B$16:$B$20</f>
            </numRef>
          </cat>
          <val>
            <numRef>
              <f>'Dashboard'!$C$16:$C$20</f>
            </numRef>
          </val>
        </ser>
        <dLbls>
          <showPercent val="1"/>
        </dLbls>
        <firstSliceAng val="0"/>
        <holeSize val="58"/>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Phase Movement</a:t>
            </a:r>
          </a:p>
        </rich>
      </tx>
    </title>
    <plotArea>
      <barChart>
        <barDir val="bar"/>
        <grouping val="stacked"/>
        <ser>
          <idx val="0"/>
          <order val="0"/>
          <tx>
            <strRef>
              <f>'Dashboard'!I15</f>
            </strRef>
          </tx>
          <spPr>
            <a:ln xmlns:a="http://schemas.openxmlformats.org/drawingml/2006/main">
              <a:prstDash val="solid"/>
            </a:ln>
          </spPr>
          <cat>
            <numRef>
              <f>'Dashboard'!$H$16:$H$21</f>
            </numRef>
          </cat>
          <val>
            <numRef>
              <f>'Dashboard'!$I$16:$I$21</f>
            </numRef>
          </val>
        </ser>
        <ser>
          <idx val="1"/>
          <order val="1"/>
          <tx>
            <strRef>
              <f>'Dashboard'!J15</f>
            </strRef>
          </tx>
          <spPr>
            <a:ln xmlns:a="http://schemas.openxmlformats.org/drawingml/2006/main">
              <a:prstDash val="solid"/>
            </a:ln>
          </spPr>
          <cat>
            <numRef>
              <f>'Dashboard'!$H$16:$H$21</f>
            </numRef>
          </cat>
          <val>
            <numRef>
              <f>'Dashboard'!$J$16:$J$21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35</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35</row>
      <rowOff>0</rowOff>
    </from>
    <ext cx="36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autoFilter ref="A1:I150"/>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autoFilter ref="J1:R150"/>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FnomoExecutionSchedule" displayName="FnomoExecutionSchedule" ref="B4:J40" headerRowCount="1">
  <autoFilter ref="B4:J40"/>
  <tableColumns count="9">
    <tableColumn id="1" name="Day"/>
    <tableColumn id="2" name="Phase"/>
    <tableColumn id="3" name="Quest Title"/>
    <tableColumn id="4" name="Primary Objective"/>
    <tableColumn id="5" name="Success Metric"/>
    <tableColumn id="6" name="Task Status"/>
    <tableColumn id="7" name="Owner"/>
    <tableColumn id="8" name="Priority"/>
    <tableColumn id="9" name="Progress"/>
  </tableColumns>
  <tableStyleInfo name="TableStyleMedium2" showFirstColumn="0" showLastColumn="0" showRowStripes="1" showColumnStripes="0"/>
</table>
</file>

<file path=xl/tables/table4.xml><?xml version="1.0" encoding="utf-8"?>
<table xmlns="http://schemas.openxmlformats.org/spreadsheetml/2006/main" id="4" name="Table_1" displayName="Table_1" ref="B6:I35" headerRowCount="1">
  <autoFilter ref="B6:I35"/>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5.xml><?xml version="1.0" encoding="utf-8"?>
<table xmlns="http://schemas.openxmlformats.org/spreadsheetml/2006/main" id="5" name="Table_2" displayName="Table_2" ref="B5:I1000" headerRowCount="1">
  <autoFilter ref="B5:I1000"/>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6.xml><?xml version="1.0" encoding="utf-8"?>
<table xmlns="http://schemas.openxmlformats.org/spreadsheetml/2006/main" id="6" name="Table_3" displayName="Table_3" ref="B5:I1000" headerRowCount="1">
  <autoFilter ref="B5:I1000"/>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7.xml><?xml version="1.0" encoding="utf-8"?>
<table xmlns="http://schemas.openxmlformats.org/spreadsheetml/2006/main" id="7" name="FnomoMasterPipeline" displayName="FnomoMasterPipeline" ref="A4:K214" headerRowCount="1">
  <autoFilter ref="A4:K214"/>
  <tableColumns count="11">
    <tableColumn id="1" name="Lead_ID"/>
    <tableColumn id="2" name="Name"/>
    <tableColumn id="3" name="Company"/>
    <tableColumn id="4" name="Type (CA / Business / Association)"/>
    <tableColumn id="5" name="Tier (A/B/C)"/>
    <tableColumn id="6" name="Stage (New / Contacted / Engaged / Qualified / Converted / Lost)"/>
    <tableColumn id="7" name="Last_Contact_Date"/>
    <tableColumn id="8" name="Next_Action"/>
    <tableColumn id="9" name="Next_Action_Date"/>
    <tableColumn id="10" name="Status (Active / Waiting / No Response / Closed)"/>
    <tableColumn id="11" name="Notes (free text)"/>
  </tableColumns>
  <tableStyleInfo name="TableStyleMedium2"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s>
</file>

<file path=xl/worksheets/_rels/sheet15.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30" customWidth="1" style="80" min="1" max="1"/>
    <col width="18" customWidth="1" style="80" min="2" max="2"/>
    <col width="48" customWidth="1" style="80" min="3" max="3"/>
    <col width="48" customWidth="1" style="80" min="4" max="4"/>
  </cols>
  <sheetData>
    <row r="1" ht="32" customHeight="1" s="80">
      <c r="A1" s="266" t="inlineStr">
        <is>
          <t>FNOMO CURRENT PROGRESS - GTM EXECUTION CONTROL</t>
        </is>
      </c>
    </row>
    <row r="2" ht="32" customHeight="1" s="80">
      <c r="A2" s="112" t="inlineStr">
        <is>
          <t>Updated on 2026-05-03 from completed execution work, workbook pipeline, and Notion command dashboard. This is a control surface, not a vanity report.</t>
        </is>
      </c>
    </row>
    <row r="3" ht="32" customHeight="1" s="80"/>
    <row r="4" ht="32" customHeight="1" s="80">
      <c r="A4" s="267" t="inlineStr">
        <is>
          <t>Metric</t>
        </is>
      </c>
      <c r="B4" s="267" t="inlineStr">
        <is>
          <t>Value</t>
        </is>
      </c>
      <c r="C4" s="267" t="inlineStr">
        <is>
          <t>Operator Meaning</t>
        </is>
      </c>
      <c r="D4" s="267" t="inlineStr">
        <is>
          <t>Next Control</t>
        </is>
      </c>
    </row>
    <row r="5" ht="32" customHeight="1" s="80">
      <c r="A5" s="268" t="inlineStr">
        <is>
          <t>Total workbook pipeline rows</t>
        </is>
      </c>
      <c r="B5" s="268" t="n">
        <v>194</v>
      </c>
      <c r="C5" s="268" t="inlineStr">
        <is>
          <t>Operating universe in FNOMO_MASTER_PIPELINE</t>
        </is>
      </c>
      <c r="D5" s="268" t="inlineStr">
        <is>
          <t>Do not expand until Messaging Test Batch 1 gets reply signal</t>
        </is>
      </c>
    </row>
    <row r="6" ht="32" customHeight="1" s="80">
      <c r="A6" s="268" t="inlineStr">
        <is>
          <t>Active pipeline accounts in Notion</t>
        </is>
      </c>
      <c r="B6" s="268" t="n">
        <v>122</v>
      </c>
      <c r="C6" s="268" t="inlineStr">
        <is>
          <t>Board-facing account layer after duplicate cleanup</t>
        </is>
      </c>
      <c r="D6" s="268" t="inlineStr">
        <is>
          <t>Keep Notion as read layer; Sheet remains source of truth</t>
        </is>
      </c>
    </row>
    <row r="7" ht="32" customHeight="1" s="80">
      <c r="A7" s="268" t="inlineStr">
        <is>
          <t>Tier A total</t>
        </is>
      </c>
      <c r="B7" s="268" t="n">
        <v>50</v>
      </c>
      <c r="C7" s="268" t="inlineStr">
        <is>
          <t>Highest-priority execution pool</t>
        </is>
      </c>
      <c r="D7" s="268" t="inlineStr">
        <is>
          <t>Work Tier A before Tier B</t>
        </is>
      </c>
    </row>
    <row r="8" ht="32" customHeight="1" s="80">
      <c r="A8" s="268" t="inlineStr">
        <is>
          <t>Contacted rows</t>
        </is>
      </c>
      <c r="B8" s="268" t="n">
        <v>103</v>
      </c>
      <c r="C8" s="268" t="inlineStr">
        <is>
          <t>Volume already touched</t>
        </is>
      </c>
      <c r="D8" s="268" t="inlineStr">
        <is>
          <t>Do not treat volume as traction</t>
        </is>
      </c>
    </row>
    <row r="9" ht="32" customHeight="1" s="80">
      <c r="A9" s="268" t="inlineStr">
        <is>
          <t>Engaged / Qualified / Converted</t>
        </is>
      </c>
      <c r="B9" s="268" t="inlineStr">
        <is>
          <t>0 / 0 / 0</t>
        </is>
      </c>
      <c r="C9" s="268" t="inlineStr">
        <is>
          <t>Market pull signal</t>
        </is>
      </c>
      <c r="D9" s="268" t="inlineStr">
        <is>
          <t>Must move above zero through trigger test</t>
        </is>
      </c>
    </row>
    <row r="10" ht="32" customHeight="1" s="80">
      <c r="A10" s="268" t="inlineStr">
        <is>
          <t>Reply Rate</t>
        </is>
      </c>
      <c r="B10" s="268" t="inlineStr">
        <is>
          <t>0.0%</t>
        </is>
      </c>
      <c r="C10" s="268" t="inlineStr">
        <is>
          <t>Truth metric after contacted volume</t>
        </is>
      </c>
      <c r="D10" s="268" t="inlineStr">
        <is>
          <t>Goal: first 5-10 replies</t>
        </is>
      </c>
    </row>
    <row r="11" ht="32" customHeight="1" s="80">
      <c r="A11" s="268" t="inlineStr">
        <is>
          <t>Engagement Rate</t>
        </is>
      </c>
      <c r="B11" s="268" t="inlineStr">
        <is>
          <t>0.0%</t>
        </is>
      </c>
      <c r="C11" s="268" t="inlineStr">
        <is>
          <t>Valid response rate excluding Not Relevant</t>
        </is>
      </c>
      <c r="D11" s="268" t="inlineStr">
        <is>
          <t>Goal: prove market cares before more volume</t>
        </is>
      </c>
    </row>
    <row r="12" ht="32" customHeight="1" s="80">
      <c r="A12" s="268" t="inlineStr">
        <is>
          <t>Messaging Test Batch 1 rows</t>
        </is>
      </c>
      <c r="B12" s="268" t="n">
        <v>27</v>
      </c>
      <c r="C12" s="268" t="inlineStr">
        <is>
          <t>Tier A contacted/no-response cohort marked for new trigger</t>
        </is>
      </c>
      <c r="D12" s="268" t="inlineStr">
        <is>
          <t>Send re-engagement; classify every reply</t>
        </is>
      </c>
    </row>
    <row r="13" ht="32" customHeight="1" s="80">
      <c r="A13" s="269" t="inlineStr">
        <is>
          <t>Tier A missing next action</t>
        </is>
      </c>
      <c r="B13" s="269" t="n">
        <v>0</v>
      </c>
      <c r="C13" s="269" t="inlineStr">
        <is>
          <t>Data quality guardrail</t>
        </is>
      </c>
      <c r="D13" s="269" t="inlineStr">
        <is>
          <t>Must remain zero</t>
        </is>
      </c>
    </row>
    <row r="14" ht="32" customHeight="1" s="80"/>
    <row r="15" ht="32" customHeight="1" s="80"/>
    <row r="16" ht="32" customHeight="1" s="80">
      <c r="A16" s="267" t="inlineStr">
        <is>
          <t>Completed Work</t>
        </is>
      </c>
      <c r="B16" s="267" t="inlineStr">
        <is>
          <t>Status</t>
        </is>
      </c>
      <c r="C16" s="267" t="inlineStr">
        <is>
          <t>Evidence</t>
        </is>
      </c>
      <c r="D16" s="267" t="inlineStr">
        <is>
          <t>Next Control</t>
        </is>
      </c>
    </row>
    <row r="17" ht="32" customHeight="1" s="80">
      <c r="A17" s="270" t="inlineStr">
        <is>
          <t>Relational CRM rebuild</t>
        </is>
      </c>
      <c r="B17" s="270" t="inlineStr">
        <is>
          <t>Done</t>
        </is>
      </c>
      <c r="C17" s="270" t="inlineStr">
        <is>
          <t>Clients/Contacts/Active Work split; duplicate companies controlled</t>
        </is>
      </c>
      <c r="D17" s="270" t="inlineStr">
        <is>
          <t>Do not restructure again</t>
        </is>
      </c>
    </row>
    <row r="18" ht="32" customHeight="1" s="80">
      <c r="A18" s="270" t="inlineStr">
        <is>
          <t>Board command dashboard</t>
        </is>
      </c>
      <c r="B18" s="270" t="inlineStr">
        <is>
          <t>Done</t>
        </is>
      </c>
      <c r="C18" s="270" t="inlineStr">
        <is>
          <t>Pipeline Snapshot, Segment Breakdown, Tier A, Velocity, Engagement, Follow-ups, Blockers, Learning, Next 7 Days</t>
        </is>
      </c>
      <c r="D18" s="270" t="inlineStr">
        <is>
          <t>Refresh after every execution cycle</t>
        </is>
      </c>
    </row>
    <row r="19" ht="32" customHeight="1" s="80">
      <c r="A19" s="270" t="inlineStr">
        <is>
          <t>Outcome intelligence</t>
        </is>
      </c>
      <c r="B19" s="270" t="inlineStr">
        <is>
          <t>Done</t>
        </is>
      </c>
      <c r="C19" s="270" t="inlineStr">
        <is>
          <t>Outcome enum live; all history rows classified No Response</t>
        </is>
      </c>
      <c r="D19" s="270" t="inlineStr">
        <is>
          <t>No future history row without Outcome</t>
        </is>
      </c>
    </row>
    <row r="20" ht="32" customHeight="1" s="80">
      <c r="A20" s="270" t="inlineStr">
        <is>
          <t>Messaging Test Batch 1</t>
        </is>
      </c>
      <c r="B20" s="270" t="inlineStr">
        <is>
          <t>Done</t>
        </is>
      </c>
      <c r="C20" s="270" t="inlineStr">
        <is>
          <t>27 Tier A contacted/no-response rows tagged and re-engagement tasks created</t>
        </is>
      </c>
      <c r="D20" s="270" t="inlineStr">
        <is>
          <t>Send now; do not create new cold batch</t>
        </is>
      </c>
    </row>
    <row r="21" ht="32" customHeight="1" s="80">
      <c r="A21" s="270" t="inlineStr">
        <is>
          <t>CA trigger message rewrite</t>
        </is>
      </c>
      <c r="B21" s="270" t="inlineStr">
        <is>
          <t>Done</t>
        </is>
      </c>
      <c r="C21" s="270" t="inlineStr">
        <is>
          <t>FNOMO_OUTREACH_READY updated with wrong-decision trigger and confidence-gap Version B</t>
        </is>
      </c>
      <c r="D21" s="270" t="inlineStr">
        <is>
          <t>Use Version A first for CA cohort</t>
        </is>
      </c>
    </row>
    <row r="22" ht="32" customHeight="1" s="80"/>
    <row r="23" ht="32" customHeight="1" s="80"/>
    <row r="24" ht="32" customHeight="1" s="80">
      <c r="A24" s="267" t="inlineStr">
        <is>
          <t>Risk / Truth</t>
        </is>
      </c>
      <c r="B24" s="267" t="inlineStr">
        <is>
          <t>Signal</t>
        </is>
      </c>
      <c r="C24" s="267" t="inlineStr">
        <is>
          <t>Impact</t>
        </is>
      </c>
      <c r="D24" s="267" t="inlineStr">
        <is>
          <t>Immediate Move</t>
        </is>
      </c>
    </row>
    <row r="25" ht="32" customHeight="1" s="80">
      <c r="A25" s="271" t="inlineStr">
        <is>
          <t>Trigger problem</t>
        </is>
      </c>
      <c r="B25" s="271" t="inlineStr">
        <is>
          <t>0 replies after contacted volume</t>
        </is>
      </c>
      <c r="C25" s="271" t="inlineStr">
        <is>
          <t>Current messaging is ignored, not rejected</t>
        </is>
      </c>
      <c r="D25" s="271" t="inlineStr">
        <is>
          <t>Send new wrong-decision trigger to Tier A cohort</t>
        </is>
      </c>
    </row>
    <row r="26" ht="32" customHeight="1" s="80">
      <c r="A26" s="272" t="inlineStr">
        <is>
          <t>No market pull yet</t>
        </is>
      </c>
      <c r="B26" s="272" t="inlineStr">
        <is>
          <t>Engaged = 0</t>
        </is>
      </c>
      <c r="C26" s="272" t="inlineStr">
        <is>
          <t>Pipeline is not yet commercially validated</t>
        </is>
      </c>
      <c r="D26" s="272" t="inlineStr">
        <is>
          <t>Measure replies before demos or expansion</t>
        </is>
      </c>
    </row>
    <row r="27" ht="32" customHeight="1" s="80">
      <c r="A27" s="272" t="inlineStr">
        <is>
          <t>Tier A pressure</t>
        </is>
      </c>
      <c r="B27" s="272" t="inlineStr">
        <is>
          <t>Messaging Test Batch 1 due now</t>
        </is>
      </c>
      <c r="C27" s="272" t="inlineStr">
        <is>
          <t>High-value leads can drift if re-engagement is not executed</t>
        </is>
      </c>
      <c r="D27" s="272" t="inlineStr">
        <is>
          <t>Work only Tier A until first replies</t>
        </is>
      </c>
    </row>
    <row r="28" ht="32" customHeight="1" s="80">
      <c r="A28" s="272" t="inlineStr">
        <is>
          <t>No reply classification history</t>
        </is>
      </c>
      <c r="B28" s="272" t="inlineStr">
        <is>
          <t>All Outcome = No Response</t>
        </is>
      </c>
      <c r="C28" s="272" t="inlineStr">
        <is>
          <t>Board dashboard tells the truth but has no positive signal yet</t>
        </is>
      </c>
      <c r="D28" s="272" t="inlineStr">
        <is>
          <t>Classify every incoming reply same day</t>
        </is>
      </c>
    </row>
    <row r="29" ht="32" customHeight="1" s="80"/>
    <row r="30" ht="32" customHeight="1" s="80"/>
    <row r="31" ht="32" customHeight="1" s="80">
      <c r="A31" s="267" t="inlineStr">
        <is>
          <t>Next 24h Move</t>
        </is>
      </c>
      <c r="B31" s="267" t="inlineStr">
        <is>
          <t>Owner</t>
        </is>
      </c>
      <c r="C31" s="267" t="inlineStr">
        <is>
          <t>Expected Signal</t>
        </is>
      </c>
      <c r="D31" s="267" t="inlineStr">
        <is>
          <t>Stop Rule</t>
        </is>
      </c>
    </row>
    <row r="32" ht="32" customHeight="1" s="80">
      <c r="A32" s="268" t="inlineStr">
        <is>
          <t>Send CA Version A to contacted Tier A/no-response contacts</t>
        </is>
      </c>
      <c r="B32" s="268" t="inlineStr">
        <is>
          <t>Kush</t>
        </is>
      </c>
      <c r="C32" s="268" t="inlineStr">
        <is>
          <t>First yes/no reply</t>
        </is>
      </c>
      <c r="D32" s="268" t="inlineStr">
        <is>
          <t>Stop new cold expansion until replies appear</t>
        </is>
      </c>
    </row>
    <row r="33" ht="32" customHeight="1" s="80">
      <c r="A33" s="268" t="inlineStr">
        <is>
          <t>Send Version B only as split test to selected non-CA Tier A</t>
        </is>
      </c>
      <c r="B33" s="268" t="inlineStr">
        <is>
          <t>Kush</t>
        </is>
      </c>
      <c r="C33" s="268" t="inlineStr">
        <is>
          <t>Reply or explicit rejection</t>
        </is>
      </c>
      <c r="D33" s="268" t="inlineStr">
        <is>
          <t>Do not pitch features</t>
        </is>
      </c>
    </row>
    <row r="34" ht="32" customHeight="1" s="80">
      <c r="A34" s="268" t="inlineStr">
        <is>
          <t>Record every response in Execution History Outcome</t>
        </is>
      </c>
      <c r="B34" s="268" t="inlineStr">
        <is>
          <t>Kush/Codex</t>
        </is>
      </c>
      <c r="C34" s="268" t="inlineStr">
        <is>
          <t>Interested/Curious/Objection/Not Relevant</t>
        </is>
      </c>
      <c r="D34" s="268" t="inlineStr">
        <is>
          <t>No unclassified reply</t>
        </is>
      </c>
    </row>
    <row r="35" ht="32" customHeight="1" s="80">
      <c r="A35" s="268" t="inlineStr">
        <is>
          <t>Refresh dashboard after sends/replies</t>
        </is>
      </c>
      <c r="B35" s="268" t="inlineStr">
        <is>
          <t>Codex</t>
        </is>
      </c>
      <c r="C35" s="268" t="inlineStr">
        <is>
          <t>Reply Rate and Engagement Rate update</t>
        </is>
      </c>
      <c r="D35" s="268" t="inlineStr">
        <is>
          <t>Do not present old 0% metrics after replies arrive</t>
        </is>
      </c>
    </row>
    <row r="40">
      <c r="A40" s="267" t="inlineStr">
        <is>
          <t>Founder Circle Control</t>
        </is>
      </c>
      <c r="B40" s="267" t="inlineStr">
        <is>
          <t>Value</t>
        </is>
      </c>
      <c r="C40" s="267" t="inlineStr">
        <is>
          <t>Why It Matters</t>
        </is>
      </c>
      <c r="D40" s="267" t="inlineStr">
        <is>
          <t>Next Control</t>
        </is>
      </c>
    </row>
    <row r="41">
      <c r="A41" s="268" t="inlineStr">
        <is>
          <t>Founder Circle cap</t>
        </is>
      </c>
      <c r="B41" s="268" t="inlineStr">
        <is>
          <t>100 seats</t>
        </is>
      </c>
      <c r="C41" s="268" t="inlineStr">
        <is>
          <t>Real scarcity; not fake urgency</t>
        </is>
      </c>
      <c r="D41" s="268" t="inlineStr">
        <is>
          <t>Do not exceed cap</t>
        </is>
      </c>
    </row>
    <row r="42">
      <c r="A42" s="268" t="inlineStr">
        <is>
          <t>Founder price</t>
        </is>
      </c>
      <c r="B42" s="268" t="inlineStr">
        <is>
          <t>Rs 4,899/year</t>
        </is>
      </c>
      <c r="C42" s="268" t="inlineStr">
        <is>
          <t>Yearly commitment is the conversion path</t>
        </is>
      </c>
      <c r="D42" s="268" t="inlineStr">
        <is>
          <t>No discount below founder price</t>
        </is>
      </c>
    </row>
    <row r="43">
      <c r="A43" s="268" t="inlineStr">
        <is>
          <t>Founder validation cohort</t>
        </is>
      </c>
      <c r="B43" s="268" t="n">
        <v>27</v>
      </c>
      <c r="C43" s="268" t="inlineStr">
        <is>
          <t>Existing Tier A no-response cohort</t>
        </is>
      </c>
      <c r="D43" s="268" t="inlineStr">
        <is>
          <t>Send before any cold expansion</t>
        </is>
      </c>
    </row>
    <row r="44">
      <c r="A44" s="268" t="inlineStr">
        <is>
          <t>Founder selection filter</t>
        </is>
      </c>
      <c r="B44" s="268" t="inlineStr">
        <is>
          <t>Capital exposure + decision pain + network leverage</t>
        </is>
      </c>
      <c r="C44" s="268" t="inlineStr">
        <is>
          <t>Founder is a proof asset, not just an early buyer</t>
        </is>
      </c>
      <c r="D44" s="268" t="inlineStr">
        <is>
          <t>Reject weak-fit prospects</t>
        </is>
      </c>
    </row>
    <row r="45">
      <c r="A45" s="272" t="inlineStr">
        <is>
          <t>Public launch gate</t>
        </is>
      </c>
      <c r="B45" s="272" t="inlineStr">
        <is>
          <t>20 paid founders</t>
        </is>
      </c>
      <c r="C45" s="272" t="inlineStr">
        <is>
          <t>Prevents public scaling before proof</t>
        </is>
      </c>
      <c r="D45" s="272" t="inlineStr">
        <is>
          <t>Hold broad market until reached</t>
        </is>
      </c>
    </row>
    <row r="46">
      <c r="A46" s="272" t="inlineStr">
        <is>
          <t>Reply gate</t>
        </is>
      </c>
      <c r="B46" s="272" t="inlineStr">
        <is>
          <t>10% reply rate</t>
        </is>
      </c>
      <c r="C46" s="272" t="inlineStr">
        <is>
          <t>Confirms trigger works</t>
        </is>
      </c>
      <c r="D46" s="272" t="inlineStr">
        <is>
          <t>Current rate remains 0.0% until replies logged</t>
        </is>
      </c>
    </row>
    <row r="47">
      <c r="A47" s="272" t="inlineStr">
        <is>
          <t>Proof target</t>
        </is>
      </c>
      <c r="B47" s="272" t="inlineStr">
        <is>
          <t>10-15 proof assets by Days 15-25</t>
        </is>
      </c>
      <c r="C47" s="272" t="inlineStr">
        <is>
          <t>Founder stories create the scale bridge</t>
        </is>
      </c>
      <c r="D47" s="272" t="inlineStr">
        <is>
          <t>Capture after value moments</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v>103</v>
      </c>
      <c r="B104" s="8" t="inlineStr">
        <is>
          <t>? New</t>
        </is>
      </c>
      <c r="C104" s="9" t="n"/>
      <c r="D104" s="8" t="n"/>
      <c r="E104" t="inlineStr">
        <is>
          <t>Dr.
Skand
Kumar
Trivedi</t>
        </is>
      </c>
      <c r="F104" t="inlineStr">
        <is>
          <t>Doctors</t>
        </is>
      </c>
      <c r="I104" t="inlineStr">
        <is>
          <t>Doctors</t>
        </is>
      </c>
      <c r="J104" t="inlineStr">
        <is>
          <t>Last wrong investment/financial decision? What was the decision process?</t>
        </is>
      </c>
      <c r="L104" s="8" t="n"/>
      <c r="N104" s="4" t="n"/>
      <c r="P104" s="4" t="n"/>
      <c r="Q104" t="inlineStr">
        <is>
          <t>Decision validation before investment action</t>
        </is>
      </c>
    </row>
    <row r="105" ht="22.5" customHeight="1" s="80">
      <c r="A105" s="4" t="n">
        <v>104</v>
      </c>
      <c r="B105" s="8" t="inlineStr">
        <is>
          <t>? New</t>
        </is>
      </c>
      <c r="C105" s="9" t="n"/>
      <c r="D105" s="8" t="n"/>
      <c r="E105" t="inlineStr">
        <is>
          <t>Dr.
Rajnees
h
Kachha
ra</t>
        </is>
      </c>
      <c r="F105" t="inlineStr">
        <is>
          <t>Doctors</t>
        </is>
      </c>
      <c r="I105" t="inlineStr">
        <is>
          <t>Doctors</t>
        </is>
      </c>
      <c r="J105" t="inlineStr">
        <is>
          <t>Last wrong investment/financial decision? What was the decision process?</t>
        </is>
      </c>
      <c r="L105" s="8" t="n"/>
      <c r="N105" s="4" t="n"/>
      <c r="P105" s="4" t="n"/>
      <c r="Q105" t="inlineStr">
        <is>
          <t>Decision validation before investment action</t>
        </is>
      </c>
    </row>
    <row r="106" ht="22.5" customHeight="1" s="80">
      <c r="A106" s="4" t="n">
        <v>105</v>
      </c>
      <c r="B106" s="8" t="inlineStr">
        <is>
          <t>? New</t>
        </is>
      </c>
      <c r="C106" s="9" t="n"/>
      <c r="D106" s="8" t="n"/>
      <c r="E106" t="inlineStr">
        <is>
          <t>Dr.
Vinit
Pandey</t>
        </is>
      </c>
      <c r="F106" t="inlineStr">
        <is>
          <t>Doctors</t>
        </is>
      </c>
      <c r="I106" t="inlineStr">
        <is>
          <t>Doctors</t>
        </is>
      </c>
      <c r="J106" t="inlineStr">
        <is>
          <t>Last wrong investment/financial decision? What was the decision process?</t>
        </is>
      </c>
      <c r="L106" s="8" t="n"/>
      <c r="N106" s="4" t="n"/>
      <c r="P106" s="4" t="n"/>
      <c r="Q106" t="inlineStr">
        <is>
          <t>Decision validation before investment action</t>
        </is>
      </c>
    </row>
    <row r="107" ht="22.5" customHeight="1" s="80">
      <c r="A107" s="4" t="n">
        <v>106</v>
      </c>
      <c r="B107" s="8" t="inlineStr">
        <is>
          <t>? New</t>
        </is>
      </c>
      <c r="C107" s="9" t="n"/>
      <c r="D107" s="8" t="n"/>
      <c r="E107" t="inlineStr">
        <is>
          <t>Dr.
Aaditya
Sirohi</t>
        </is>
      </c>
      <c r="F107" t="inlineStr">
        <is>
          <t>Doctors</t>
        </is>
      </c>
      <c r="I107" t="inlineStr">
        <is>
          <t>Doctors</t>
        </is>
      </c>
      <c r="J107" t="inlineStr">
        <is>
          <t>Last wrong investment/financial decision? What was the decision process?</t>
        </is>
      </c>
      <c r="L107" s="8" t="n"/>
      <c r="N107" s="4" t="n"/>
      <c r="P107" s="4" t="n"/>
      <c r="Q107" t="inlineStr">
        <is>
          <t>Decision validation before investment action</t>
        </is>
      </c>
    </row>
    <row r="108" ht="22.5" customHeight="1" s="80">
      <c r="A108" s="4" t="n">
        <v>107</v>
      </c>
      <c r="B108" s="8" t="inlineStr">
        <is>
          <t>? New</t>
        </is>
      </c>
      <c r="C108" s="9" t="n"/>
      <c r="D108" s="8" t="n"/>
      <c r="E108" t="inlineStr">
        <is>
          <t>Dr.
Gopal
Batni</t>
        </is>
      </c>
      <c r="F108" t="inlineStr">
        <is>
          <t>Doctors</t>
        </is>
      </c>
      <c r="I108" t="inlineStr">
        <is>
          <t>Doctors</t>
        </is>
      </c>
      <c r="J108" t="inlineStr">
        <is>
          <t>Last wrong investment/financial decision? What was the decision process?</t>
        </is>
      </c>
      <c r="L108" s="8" t="n"/>
      <c r="N108" s="4" t="n"/>
      <c r="P108" s="4" t="n"/>
      <c r="Q108" t="inlineStr">
        <is>
          <t>Decision validation before investment action</t>
        </is>
      </c>
    </row>
    <row r="109" ht="22.5" customHeight="1" s="80">
      <c r="A109" s="4" t="n">
        <v>108</v>
      </c>
      <c r="B109" s="8" t="inlineStr">
        <is>
          <t>? New</t>
        </is>
      </c>
      <c r="C109" s="9" t="n"/>
      <c r="D109" s="8" t="n"/>
      <c r="E109" t="inlineStr">
        <is>
          <t>Dr.
Neeraj
Jain</t>
        </is>
      </c>
      <c r="F109" t="inlineStr">
        <is>
          <t>Doctors</t>
        </is>
      </c>
      <c r="I109" t="inlineStr">
        <is>
          <t>Doctors</t>
        </is>
      </c>
      <c r="J109" t="inlineStr">
        <is>
          <t>Last wrong investment/financial decision? What was the decision process?</t>
        </is>
      </c>
      <c r="L109" s="8" t="n"/>
      <c r="N109" s="4" t="n"/>
      <c r="P109" s="4" t="n"/>
      <c r="Q109" t="inlineStr">
        <is>
          <t>Decision validation before investment action</t>
        </is>
      </c>
    </row>
    <row r="110" ht="22.5" customHeight="1" s="80">
      <c r="A110" s="4" t="n">
        <v>109</v>
      </c>
      <c r="B110" s="8" t="inlineStr">
        <is>
          <t>? New</t>
        </is>
      </c>
      <c r="C110" s="9" t="n"/>
      <c r="D110" s="8" t="n"/>
      <c r="E110" t="inlineStr">
        <is>
          <t>Dr.
Amit
Joshi</t>
        </is>
      </c>
      <c r="F110" t="inlineStr">
        <is>
          <t>Doctors</t>
        </is>
      </c>
      <c r="I110" t="inlineStr">
        <is>
          <t>Doctors</t>
        </is>
      </c>
      <c r="J110" t="inlineStr">
        <is>
          <t>Last wrong investment/financial decision? What was the decision process?</t>
        </is>
      </c>
      <c r="L110" s="8" t="n"/>
      <c r="N110" s="4" t="n"/>
      <c r="P110" s="4" t="n"/>
      <c r="Q110" t="inlineStr">
        <is>
          <t>Decision validation before investment action</t>
        </is>
      </c>
    </row>
    <row r="111" ht="22.5" customHeight="1" s="80">
      <c r="A111" s="4" t="n">
        <v>110</v>
      </c>
      <c r="B111" s="8" t="inlineStr">
        <is>
          <t>? New</t>
        </is>
      </c>
      <c r="C111" s="9" t="n"/>
      <c r="D111" s="8" t="n"/>
      <c r="E111" t="inlineStr">
        <is>
          <t>Dr.
Seetha
Lekshm
i B</t>
        </is>
      </c>
      <c r="F111" t="inlineStr">
        <is>
          <t>Doctors</t>
        </is>
      </c>
      <c r="I111" t="inlineStr">
        <is>
          <t>Doctors</t>
        </is>
      </c>
      <c r="J111" t="inlineStr">
        <is>
          <t>Last wrong investment/financial decision? What was the decision process?</t>
        </is>
      </c>
      <c r="L111" s="8" t="n"/>
      <c r="N111" s="4" t="n"/>
      <c r="P111" s="4" t="n"/>
      <c r="Q111" t="inlineStr">
        <is>
          <t>Decision validation before investment action</t>
        </is>
      </c>
    </row>
    <row r="112" ht="22.5" customHeight="1" s="80">
      <c r="A112" s="4" t="n">
        <v>111</v>
      </c>
      <c r="B112" s="8" t="inlineStr">
        <is>
          <t>? New</t>
        </is>
      </c>
      <c r="C112" s="9" t="n"/>
      <c r="D112" s="8" t="n"/>
      <c r="E112" t="inlineStr">
        <is>
          <t>Dr.
Rohit
Joshi</t>
        </is>
      </c>
      <c r="F112" t="inlineStr">
        <is>
          <t>Doctors</t>
        </is>
      </c>
      <c r="I112" t="inlineStr">
        <is>
          <t>Doctors</t>
        </is>
      </c>
      <c r="J112" t="inlineStr">
        <is>
          <t>Last wrong investment/financial decision? What was the decision process?</t>
        </is>
      </c>
      <c r="L112" s="8" t="n"/>
      <c r="N112" s="4" t="n"/>
      <c r="P112" s="4" t="n"/>
      <c r="Q112" t="inlineStr">
        <is>
          <t>Decision validation before investment action</t>
        </is>
      </c>
    </row>
    <row r="113" ht="22.5" customHeight="1" s="80">
      <c r="A113" s="4" t="n">
        <v>112</v>
      </c>
      <c r="B113" s="8" t="inlineStr">
        <is>
          <t>? New</t>
        </is>
      </c>
      <c r="C113" s="9" t="n"/>
      <c r="D113" s="8" t="n"/>
      <c r="E113" t="inlineStr">
        <is>
          <t>Dr.
Vikram
Balwani</t>
        </is>
      </c>
      <c r="F113" t="inlineStr">
        <is>
          <t>Doctors</t>
        </is>
      </c>
      <c r="I113" t="inlineStr">
        <is>
          <t>Doctors</t>
        </is>
      </c>
      <c r="J113" t="inlineStr">
        <is>
          <t>Last wrong investment/financial decision? What was the decision process?</t>
        </is>
      </c>
      <c r="L113" s="8" t="n"/>
      <c r="N113" s="4" t="n"/>
      <c r="P113" s="4" t="n"/>
      <c r="Q113" t="inlineStr">
        <is>
          <t>Decision validation before investment action</t>
        </is>
      </c>
    </row>
    <row r="114" ht="22.5" customHeight="1" s="80">
      <c r="A114" s="4" t="n">
        <v>113</v>
      </c>
      <c r="B114" s="8" t="inlineStr">
        <is>
          <t>? New</t>
        </is>
      </c>
      <c r="C114" s="9" t="n"/>
      <c r="D114" s="8" t="n"/>
      <c r="E114" t="inlineStr">
        <is>
          <t>Dr.
Santos
h
Choudh
ary</t>
        </is>
      </c>
      <c r="F114" t="inlineStr">
        <is>
          <t>Doctors</t>
        </is>
      </c>
      <c r="I114" t="inlineStr">
        <is>
          <t>Doctors</t>
        </is>
      </c>
      <c r="J114" t="inlineStr">
        <is>
          <t>Last wrong investment/financial decision? What was the decision process?</t>
        </is>
      </c>
      <c r="L114" s="8" t="n"/>
      <c r="N114" s="4" t="n"/>
      <c r="P114" s="4" t="n"/>
      <c r="Q114" t="inlineStr">
        <is>
          <t>Decision validation before investment action</t>
        </is>
      </c>
    </row>
    <row r="115" ht="22.5" customHeight="1" s="80">
      <c r="A115" s="4" t="n">
        <v>114</v>
      </c>
      <c r="B115" s="8" t="inlineStr">
        <is>
          <t>? New</t>
        </is>
      </c>
      <c r="C115" s="9" t="n"/>
      <c r="D115" s="8" t="n"/>
      <c r="E115" t="inlineStr">
        <is>
          <t>Dr.
Arpit
Tiwari</t>
        </is>
      </c>
      <c r="F115" t="inlineStr">
        <is>
          <t>Doctors</t>
        </is>
      </c>
      <c r="I115" t="inlineStr">
        <is>
          <t>Doctors</t>
        </is>
      </c>
      <c r="J115" t="inlineStr">
        <is>
          <t>Last wrong investment/financial decision? What was the decision process?</t>
        </is>
      </c>
      <c r="L115" s="8" t="n"/>
      <c r="N115" s="4" t="n"/>
      <c r="P115" s="4" t="n"/>
      <c r="Q115" t="inlineStr">
        <is>
          <t>Decision validation before investment action</t>
        </is>
      </c>
    </row>
    <row r="116" ht="22.5" customHeight="1" s="80">
      <c r="A116" s="4" t="n">
        <v>115</v>
      </c>
      <c r="B116" s="8" t="inlineStr">
        <is>
          <t>? New</t>
        </is>
      </c>
      <c r="C116" s="9" t="n"/>
      <c r="D116" s="8" t="n"/>
      <c r="E116" t="inlineStr">
        <is>
          <t>Dr.
Abhish
ek
Agrawa
l</t>
        </is>
      </c>
      <c r="F116" t="inlineStr">
        <is>
          <t>Doctors</t>
        </is>
      </c>
      <c r="I116" t="inlineStr">
        <is>
          <t>Doctors</t>
        </is>
      </c>
      <c r="J116" t="inlineStr">
        <is>
          <t>Last wrong investment/financial decision? What was the decision process?</t>
        </is>
      </c>
      <c r="L116" s="8" t="n"/>
      <c r="N116" s="4" t="n"/>
      <c r="P116" s="4" t="n"/>
      <c r="Q116" t="inlineStr">
        <is>
          <t>Decision validation before investment action</t>
        </is>
      </c>
    </row>
    <row r="117" ht="22.5" customHeight="1" s="80">
      <c r="A117" s="4" t="n">
        <v>116</v>
      </c>
      <c r="B117" s="8" t="inlineStr">
        <is>
          <t>? New</t>
        </is>
      </c>
      <c r="C117" s="9" t="n"/>
      <c r="D117" s="8" t="n"/>
      <c r="E117" t="inlineStr">
        <is>
          <t>Dr.
Deepti
Gupta</t>
        </is>
      </c>
      <c r="F117" t="inlineStr">
        <is>
          <t>Doctors</t>
        </is>
      </c>
      <c r="I117" t="inlineStr">
        <is>
          <t>Doctors</t>
        </is>
      </c>
      <c r="J117" t="inlineStr">
        <is>
          <t>Last wrong investment/financial decision? What was the decision process?</t>
        </is>
      </c>
      <c r="L117" s="8" t="n"/>
      <c r="N117" s="4" t="n"/>
      <c r="P117" s="4" t="n"/>
      <c r="Q117" t="inlineStr">
        <is>
          <t>Decision validation before investment action</t>
        </is>
      </c>
    </row>
    <row r="118" ht="22.5" customHeight="1" s="80">
      <c r="A118" s="4" t="n">
        <v>117</v>
      </c>
      <c r="B118" s="8" t="inlineStr">
        <is>
          <t>? New</t>
        </is>
      </c>
      <c r="C118" s="9" t="n"/>
      <c r="D118" s="8" t="n"/>
      <c r="E118" t="inlineStr">
        <is>
          <t>Dr.
Manoj
Kumar
Gupta</t>
        </is>
      </c>
      <c r="F118" t="inlineStr">
        <is>
          <t>Doctors</t>
        </is>
      </c>
      <c r="I118" t="inlineStr">
        <is>
          <t>Doctors</t>
        </is>
      </c>
      <c r="J118" t="inlineStr">
        <is>
          <t>Last wrong investment/financial decision? What was the decision process?</t>
        </is>
      </c>
      <c r="L118" s="8" t="n"/>
      <c r="N118" s="4" t="n"/>
      <c r="P118" s="4" t="n"/>
      <c r="Q118" t="inlineStr">
        <is>
          <t>Decision validation before investment action</t>
        </is>
      </c>
    </row>
    <row r="119" ht="22.5" customHeight="1" s="80">
      <c r="A119" s="4" t="n">
        <v>118</v>
      </c>
      <c r="B119" s="8" t="inlineStr">
        <is>
          <t>? New</t>
        </is>
      </c>
      <c r="C119" s="9" t="n"/>
      <c r="D119" s="8" t="n"/>
      <c r="E119" t="inlineStr">
        <is>
          <t>Dr. JP
Sharma</t>
        </is>
      </c>
      <c r="F119" t="inlineStr">
        <is>
          <t>Doctors</t>
        </is>
      </c>
      <c r="I119" t="inlineStr">
        <is>
          <t>Doctors</t>
        </is>
      </c>
      <c r="J119" t="inlineStr">
        <is>
          <t>Last wrong investment/financial decision? What was the decision process?</t>
        </is>
      </c>
      <c r="L119" s="8" t="n"/>
      <c r="N119" s="4" t="n"/>
      <c r="P119" s="4" t="n"/>
      <c r="Q119" t="inlineStr">
        <is>
          <t>Decision validation before investment action</t>
        </is>
      </c>
    </row>
    <row r="120" ht="22.5" customHeight="1" s="80">
      <c r="A120" s="4" t="n">
        <v>119</v>
      </c>
      <c r="B120" s="8" t="inlineStr">
        <is>
          <t>? New</t>
        </is>
      </c>
      <c r="C120" s="9" t="n"/>
      <c r="D120" s="8" t="n"/>
      <c r="E120" t="inlineStr">
        <is>
          <t>Dr.
Onkar
Patel</t>
        </is>
      </c>
      <c r="F120" t="inlineStr">
        <is>
          <t>Doctors</t>
        </is>
      </c>
      <c r="I120" t="inlineStr">
        <is>
          <t>Doctors</t>
        </is>
      </c>
      <c r="J120" t="inlineStr">
        <is>
          <t>Last wrong investment/financial decision? What was the decision process?</t>
        </is>
      </c>
      <c r="L120" s="8" t="n"/>
      <c r="N120" s="4" t="n"/>
      <c r="P120" s="4" t="n"/>
      <c r="Q120" t="inlineStr">
        <is>
          <t>Decision validation before investment action</t>
        </is>
      </c>
    </row>
    <row r="121" ht="22.5" customHeight="1" s="80">
      <c r="A121" s="4" t="n">
        <v>120</v>
      </c>
      <c r="B121" s="8" t="inlineStr">
        <is>
          <t>? New</t>
        </is>
      </c>
      <c r="C121" s="9" t="n"/>
      <c r="D121" s="8" t="n"/>
      <c r="E121" t="inlineStr">
        <is>
          <t>Dr.
Santos
h
Agrawa
l</t>
        </is>
      </c>
      <c r="F121" t="inlineStr">
        <is>
          <t>Doctors</t>
        </is>
      </c>
      <c r="I121" t="inlineStr">
        <is>
          <t>Doctors</t>
        </is>
      </c>
      <c r="J121" t="inlineStr">
        <is>
          <t>Last wrong investment/financial decision? What was the decision process?</t>
        </is>
      </c>
      <c r="L121" s="8" t="n"/>
      <c r="N121" s="4" t="n"/>
      <c r="P121" s="4" t="n"/>
      <c r="Q121" t="inlineStr">
        <is>
          <t>Decision validation before investment action</t>
        </is>
      </c>
    </row>
    <row r="122" ht="22.5" customHeight="1" s="80">
      <c r="A122" s="4" t="n">
        <v>121</v>
      </c>
      <c r="B122" s="8" t="inlineStr">
        <is>
          <t>? New</t>
        </is>
      </c>
      <c r="C122" s="9" t="n"/>
      <c r="D122" s="8" t="n"/>
      <c r="E122" t="inlineStr">
        <is>
          <t>Dr.
Akhil
Kumar
Tiwari</t>
        </is>
      </c>
      <c r="F122" t="inlineStr">
        <is>
          <t>Doctors</t>
        </is>
      </c>
      <c r="I122" t="inlineStr">
        <is>
          <t>Doctors</t>
        </is>
      </c>
      <c r="J122" t="inlineStr">
        <is>
          <t>Last wrong investment/financial decision? What was the decision process?</t>
        </is>
      </c>
      <c r="L122" s="8" t="n"/>
      <c r="N122" s="4" t="n"/>
      <c r="P122" s="4" t="n"/>
      <c r="Q122" t="inlineStr">
        <is>
          <t>Decision validation before investment action</t>
        </is>
      </c>
    </row>
    <row r="123" ht="22.5" customHeight="1" s="80">
      <c r="A123" s="4" t="n">
        <v>122</v>
      </c>
      <c r="B123" s="8" t="inlineStr">
        <is>
          <t>? New</t>
        </is>
      </c>
      <c r="C123" s="9" t="n"/>
      <c r="D123" s="8" t="n"/>
      <c r="E123" t="inlineStr">
        <is>
          <t>Dr.
Nirendr
a
Kumar
Rai</t>
        </is>
      </c>
      <c r="F123" t="inlineStr">
        <is>
          <t>Doctors</t>
        </is>
      </c>
      <c r="I123" t="inlineStr">
        <is>
          <t>Doctors</t>
        </is>
      </c>
      <c r="J123" t="inlineStr">
        <is>
          <t>Last wrong investment/financial decision? What was the decision process?</t>
        </is>
      </c>
      <c r="L123" s="8" t="n"/>
      <c r="N123" s="4" t="n"/>
      <c r="P123" s="4" t="n"/>
      <c r="Q123" t="inlineStr">
        <is>
          <t>Decision validation before investment action</t>
        </is>
      </c>
    </row>
    <row r="124" ht="22.5" customHeight="1" s="80">
      <c r="A124" s="4" t="n">
        <v>123</v>
      </c>
      <c r="B124" s="8" t="inlineStr">
        <is>
          <t>? New</t>
        </is>
      </c>
      <c r="C124" s="9" t="n"/>
      <c r="D124" s="8" t="n"/>
      <c r="E124" t="inlineStr">
        <is>
          <t>The
Sanskaar
Valley
School</t>
        </is>
      </c>
      <c r="F124" t="inlineStr">
        <is>
          <t>Schools</t>
        </is>
      </c>
      <c r="I124" t="inlineStr">
        <is>
          <t>Schools</t>
        </is>
      </c>
      <c r="J124" t="inlineStr">
        <is>
          <t>Do students act on confidence before validating judgment?</t>
        </is>
      </c>
      <c r="L124" s="8" t="n"/>
      <c r="N124" s="4" t="n"/>
      <c r="P124" s="4" t="n"/>
      <c r="Q124" t="inlineStr">
        <is>
          <t>Decision validation as a student/parent capability</t>
        </is>
      </c>
    </row>
    <row r="125" ht="22.5" customHeight="1" s="80">
      <c r="A125" s="4" t="n">
        <v>124</v>
      </c>
      <c r="B125" s="8" t="inlineStr">
        <is>
          <t>? New</t>
        </is>
      </c>
      <c r="C125" s="9" t="n"/>
      <c r="D125" s="8" t="n"/>
      <c r="E125" t="inlineStr">
        <is>
          <t>Emerald
Heights
Internatio
nal</t>
        </is>
      </c>
      <c r="F125" t="inlineStr">
        <is>
          <t>Schools</t>
        </is>
      </c>
      <c r="I125" t="inlineStr">
        <is>
          <t>Schools</t>
        </is>
      </c>
      <c r="J125" t="inlineStr">
        <is>
          <t>Do students act on confidence before validating judgment?</t>
        </is>
      </c>
      <c r="L125" s="8" t="n"/>
      <c r="N125" s="4" t="n"/>
      <c r="P125" s="4" t="n"/>
      <c r="Q125" t="inlineStr">
        <is>
          <t>Decision validation as a student/parent capability</t>
        </is>
      </c>
    </row>
    <row r="126" ht="22.5" customHeight="1" s="80">
      <c r="A126" s="4" t="n">
        <v>125</v>
      </c>
      <c r="B126" s="8" t="inlineStr">
        <is>
          <t>? New</t>
        </is>
      </c>
      <c r="C126" s="9" t="n"/>
      <c r="D126" s="8" t="n"/>
      <c r="E126" t="inlineStr">
        <is>
          <t>Daly
College</t>
        </is>
      </c>
      <c r="F126" t="inlineStr">
        <is>
          <t>Schools</t>
        </is>
      </c>
      <c r="I126" t="inlineStr">
        <is>
          <t>Schools</t>
        </is>
      </c>
      <c r="J126" t="inlineStr">
        <is>
          <t>Do students act on confidence before validating judgment?</t>
        </is>
      </c>
      <c r="L126" s="8" t="n"/>
      <c r="N126" s="4" t="n"/>
      <c r="P126" s="4" t="n"/>
      <c r="Q126" t="inlineStr">
        <is>
          <t>Decision validation as a student/parent capability</t>
        </is>
      </c>
    </row>
    <row r="127" ht="22.5" customHeight="1" s="80">
      <c r="A127" s="4" t="n">
        <v>126</v>
      </c>
      <c r="B127" s="8" t="inlineStr">
        <is>
          <t>? New</t>
        </is>
      </c>
      <c r="C127" s="9" t="n"/>
      <c r="D127" s="8" t="n"/>
      <c r="E127" t="inlineStr">
        <is>
          <t>The
Scindia
School</t>
        </is>
      </c>
      <c r="F127" t="inlineStr">
        <is>
          <t>Schools</t>
        </is>
      </c>
      <c r="I127" t="inlineStr">
        <is>
          <t>Schools</t>
        </is>
      </c>
      <c r="J127" t="inlineStr">
        <is>
          <t>Do students act on confidence before validating judgment?</t>
        </is>
      </c>
      <c r="L127" s="8" t="n"/>
      <c r="N127" s="4" t="n"/>
      <c r="P127" s="4" t="n"/>
      <c r="Q127" t="inlineStr">
        <is>
          <t>Decision validation as a student/parent capability</t>
        </is>
      </c>
    </row>
    <row r="128" ht="22.5" customHeight="1" s="80">
      <c r="A128" s="4" t="n">
        <v>127</v>
      </c>
      <c r="B128" s="8" t="inlineStr">
        <is>
          <t>? New</t>
        </is>
      </c>
      <c r="C128" s="9" t="n"/>
      <c r="D128" s="8" t="n"/>
      <c r="E128" t="inlineStr">
        <is>
          <t>The
Shishuku
nj
Internatio
nal</t>
        </is>
      </c>
      <c r="F128" t="inlineStr">
        <is>
          <t>Schools</t>
        </is>
      </c>
      <c r="I128" t="inlineStr">
        <is>
          <t>Schools</t>
        </is>
      </c>
      <c r="J128" t="inlineStr">
        <is>
          <t>Do students act on confidence before validating judgment?</t>
        </is>
      </c>
      <c r="L128" s="8" t="n"/>
      <c r="N128" s="4" t="n"/>
      <c r="P128" s="4" t="n"/>
      <c r="Q128" t="inlineStr">
        <is>
          <t>Decision validation as a student/parent capability</t>
        </is>
      </c>
    </row>
    <row r="129" ht="22.5" customHeight="1" s="80">
      <c r="A129" s="4" t="n">
        <v>128</v>
      </c>
      <c r="B129" s="8" t="inlineStr">
        <is>
          <t>? New</t>
        </is>
      </c>
      <c r="C129" s="9" t="n"/>
      <c r="D129" s="8" t="n"/>
      <c r="E129" t="inlineStr">
        <is>
          <t>Billabong
High
Internatio
nal</t>
        </is>
      </c>
      <c r="F129" t="inlineStr">
        <is>
          <t>Schools</t>
        </is>
      </c>
      <c r="I129" t="inlineStr">
        <is>
          <t>Schools</t>
        </is>
      </c>
      <c r="J129" t="inlineStr">
        <is>
          <t>Do students act on confidence before validating judgment?</t>
        </is>
      </c>
      <c r="L129" s="8" t="n"/>
      <c r="N129" s="4" t="n"/>
      <c r="P129" s="4" t="n"/>
      <c r="Q129" t="inlineStr">
        <is>
          <t>Decision validation as a student/parent capability</t>
        </is>
      </c>
    </row>
    <row r="130" ht="22.5" customHeight="1" s="80">
      <c r="A130" s="4" t="n">
        <v>129</v>
      </c>
      <c r="B130" s="8" t="inlineStr">
        <is>
          <t>? New</t>
        </is>
      </c>
      <c r="C130" s="9" t="n"/>
      <c r="D130" s="8" t="n"/>
      <c r="E130" t="inlineStr">
        <is>
          <t>Scindia
Kanya
Vidyalaya</t>
        </is>
      </c>
      <c r="F130" t="inlineStr">
        <is>
          <t>Schools</t>
        </is>
      </c>
      <c r="I130" t="inlineStr">
        <is>
          <t>Schools</t>
        </is>
      </c>
      <c r="J130" t="inlineStr">
        <is>
          <t>Do students act on confidence before validating judgment?</t>
        </is>
      </c>
      <c r="L130" s="8" t="n"/>
      <c r="N130" s="4" t="n"/>
      <c r="P130" s="4" t="n"/>
      <c r="Q130" t="inlineStr">
        <is>
          <t>Decision validation as a student/parent capability</t>
        </is>
      </c>
    </row>
    <row r="131" ht="22.5" customHeight="1" s="80">
      <c r="A131" s="4" t="n">
        <v>130</v>
      </c>
      <c r="B131" s="8" t="inlineStr">
        <is>
          <t>? New</t>
        </is>
      </c>
      <c r="C131" s="9" t="n"/>
      <c r="D131" s="8" t="n"/>
      <c r="E131" t="inlineStr">
        <is>
          <t>Delhi
Public</t>
        </is>
      </c>
      <c r="F131" t="inlineStr">
        <is>
          <t>Schools</t>
        </is>
      </c>
      <c r="I131" t="inlineStr">
        <is>
          <t>Schools</t>
        </is>
      </c>
      <c r="J131" t="inlineStr">
        <is>
          <t>Do students act on confidence before validating judgment?</t>
        </is>
      </c>
      <c r="L131" s="8" t="n"/>
      <c r="N131" s="4" t="n"/>
      <c r="P131" s="4" t="n"/>
      <c r="Q131" t="inlineStr">
        <is>
          <t>Decision validation as a student/parent capability</t>
        </is>
      </c>
    </row>
    <row r="132" ht="22.5" customHeight="1" s="80">
      <c r="A132" s="4" t="n">
        <v>131</v>
      </c>
      <c r="B132" s="8" t="inlineStr">
        <is>
          <t>? New</t>
        </is>
      </c>
      <c r="C132" s="9" t="n"/>
      <c r="D132" s="8" t="n"/>
      <c r="E132" t="inlineStr">
        <is>
          <t>School
(DPS)</t>
        </is>
      </c>
      <c r="F132" t="inlineStr">
        <is>
          <t>Schools</t>
        </is>
      </c>
      <c r="I132" t="inlineStr">
        <is>
          <t>Schools</t>
        </is>
      </c>
      <c r="J132" t="inlineStr">
        <is>
          <t>Do students act on confidence before validating judgment?</t>
        </is>
      </c>
      <c r="L132" s="8" t="n"/>
      <c r="N132" s="4" t="n"/>
      <c r="P132" s="4" t="n"/>
      <c r="Q132" t="inlineStr">
        <is>
          <t>Decision validation as a student/parent capability</t>
        </is>
      </c>
    </row>
    <row r="133" ht="22.5" customHeight="1" s="80">
      <c r="A133" s="4" t="n">
        <v>132</v>
      </c>
      <c r="B133" s="8" t="inlineStr">
        <is>
          <t>? New</t>
        </is>
      </c>
      <c r="C133" s="9" t="n"/>
      <c r="D133" s="8" t="n"/>
      <c r="E133" t="inlineStr">
        <is>
          <t>Sagar
Public
School
(Saket
Nagar)</t>
        </is>
      </c>
      <c r="F133" t="inlineStr">
        <is>
          <t>Schools</t>
        </is>
      </c>
      <c r="I133" t="inlineStr">
        <is>
          <t>Schools</t>
        </is>
      </c>
      <c r="J133" t="inlineStr">
        <is>
          <t>Do students act on confidence before validating judgment?</t>
        </is>
      </c>
      <c r="L133" s="8" t="n"/>
      <c r="N133" s="4" t="n"/>
      <c r="P133" s="4" t="n"/>
      <c r="Q133" t="inlineStr">
        <is>
          <t>Decision validation as a student/parent capability</t>
        </is>
      </c>
    </row>
    <row r="134" ht="22.5" customHeight="1" s="80">
      <c r="A134" s="4" t="n">
        <v>133</v>
      </c>
      <c r="B134" s="8" t="inlineStr">
        <is>
          <t>? New</t>
        </is>
      </c>
      <c r="C134" s="9" t="n"/>
      <c r="D134" s="8" t="n"/>
      <c r="E134" t="inlineStr">
        <is>
          <t>Campion
School</t>
        </is>
      </c>
      <c r="F134" t="inlineStr">
        <is>
          <t>Schools</t>
        </is>
      </c>
      <c r="I134" t="inlineStr">
        <is>
          <t>Schools</t>
        </is>
      </c>
      <c r="J134" t="inlineStr">
        <is>
          <t>Do students act on confidence before validating judgment?</t>
        </is>
      </c>
      <c r="L134" s="8" t="n"/>
      <c r="N134" s="4" t="n"/>
      <c r="P134" s="4" t="n"/>
      <c r="Q134" t="inlineStr">
        <is>
          <t>Decision validation as a student/parent capability</t>
        </is>
      </c>
    </row>
    <row r="135" ht="22.5" customHeight="1" s="80">
      <c r="A135" s="4" t="n">
        <v>134</v>
      </c>
      <c r="B135" s="8" t="inlineStr">
        <is>
          <t>? New</t>
        </is>
      </c>
      <c r="C135" s="9" t="n"/>
      <c r="D135" s="8" t="n"/>
      <c r="E135" t="inlineStr">
        <is>
          <t>Shri Ram
Centennia
l School</t>
        </is>
      </c>
      <c r="F135" t="inlineStr">
        <is>
          <t>Schools</t>
        </is>
      </c>
      <c r="I135" t="inlineStr">
        <is>
          <t>Schools</t>
        </is>
      </c>
      <c r="J135" t="inlineStr">
        <is>
          <t>Do students act on confidence before validating judgment?</t>
        </is>
      </c>
      <c r="L135" s="8" t="n"/>
      <c r="N135" s="4" t="n"/>
      <c r="P135" s="4" t="n"/>
      <c r="Q135" t="inlineStr">
        <is>
          <t>Decision validation as a student/parent capability</t>
        </is>
      </c>
    </row>
    <row r="136" ht="22.5" customHeight="1" s="80">
      <c r="A136" s="4" t="n">
        <v>135</v>
      </c>
      <c r="B136" s="8" t="inlineStr">
        <is>
          <t>? New</t>
        </is>
      </c>
      <c r="C136" s="9" t="n"/>
      <c r="D136" s="8" t="n"/>
      <c r="E136" t="inlineStr">
        <is>
          <t>Stemfield
Internatio
nal
School</t>
        </is>
      </c>
      <c r="F136" t="inlineStr">
        <is>
          <t>Schools</t>
        </is>
      </c>
      <c r="I136" t="inlineStr">
        <is>
          <t>Schools</t>
        </is>
      </c>
      <c r="J136" t="inlineStr">
        <is>
          <t>Do students act on confidence before validating judgment?</t>
        </is>
      </c>
      <c r="L136" s="8" t="n"/>
      <c r="N136" s="4" t="n"/>
      <c r="P136" s="4" t="n"/>
      <c r="Q136" t="inlineStr">
        <is>
          <t>Decision validation as a student/parent capability</t>
        </is>
      </c>
    </row>
    <row r="137" ht="22.5" customHeight="1" s="80">
      <c r="A137" s="4" t="n">
        <v>136</v>
      </c>
      <c r="B137" s="8" t="inlineStr">
        <is>
          <t>? New</t>
        </is>
      </c>
      <c r="C137" s="9" t="n"/>
      <c r="D137" s="8" t="n"/>
      <c r="E137" t="inlineStr">
        <is>
          <t>G.D.
Goenka
Public
School</t>
        </is>
      </c>
      <c r="F137" t="inlineStr">
        <is>
          <t>Schools</t>
        </is>
      </c>
      <c r="I137" t="inlineStr">
        <is>
          <t>Schools</t>
        </is>
      </c>
      <c r="J137" t="inlineStr">
        <is>
          <t>Do students act on confidence before validating judgment?</t>
        </is>
      </c>
      <c r="L137" s="8" t="n"/>
      <c r="N137" s="4" t="n"/>
      <c r="P137" s="4" t="n"/>
      <c r="Q137" t="inlineStr">
        <is>
          <t>Decision validation as a student/parent capability</t>
        </is>
      </c>
    </row>
    <row r="138" ht="22.5" customHeight="1" s="80">
      <c r="A138" s="4" t="n">
        <v>137</v>
      </c>
      <c r="B138" s="8" t="inlineStr">
        <is>
          <t>? New</t>
        </is>
      </c>
      <c r="C138" s="9" t="n"/>
      <c r="D138" s="8" t="n"/>
      <c r="E138" t="inlineStr">
        <is>
          <t>Christ
Church
Girls'
School</t>
        </is>
      </c>
      <c r="F138" t="inlineStr">
        <is>
          <t>Schools</t>
        </is>
      </c>
      <c r="I138" t="inlineStr">
        <is>
          <t>Schools</t>
        </is>
      </c>
      <c r="J138" t="inlineStr">
        <is>
          <t>Do students act on confidence before validating judgment?</t>
        </is>
      </c>
      <c r="L138" s="8" t="n"/>
      <c r="N138" s="4" t="n"/>
      <c r="P138" s="4" t="n"/>
      <c r="Q138" t="inlineStr">
        <is>
          <t>Decision validation as a student/parent capability</t>
        </is>
      </c>
    </row>
    <row r="139" ht="22.5" customHeight="1" s="80">
      <c r="A139" s="4" t="n">
        <v>138</v>
      </c>
      <c r="B139" s="8" t="inlineStr">
        <is>
          <t>? New</t>
        </is>
      </c>
      <c r="C139" s="9" t="n"/>
      <c r="D139" s="8" t="n"/>
      <c r="E139" t="inlineStr">
        <is>
          <t>Christ
Church
Boys'
School</t>
        </is>
      </c>
      <c r="F139" t="inlineStr">
        <is>
          <t>Schools</t>
        </is>
      </c>
      <c r="I139" t="inlineStr">
        <is>
          <t>Schools</t>
        </is>
      </c>
      <c r="J139" t="inlineStr">
        <is>
          <t>Do students act on confidence before validating judgment?</t>
        </is>
      </c>
      <c r="L139" s="8" t="n"/>
      <c r="N139" s="4" t="n"/>
      <c r="P139" s="4" t="n"/>
      <c r="Q139" t="inlineStr">
        <is>
          <t>Decision validation as a student/parent capability</t>
        </is>
      </c>
    </row>
    <row r="140" ht="22.5" customHeight="1" s="80">
      <c r="A140" s="4" t="n">
        <v>139</v>
      </c>
      <c r="B140" s="8" t="inlineStr">
        <is>
          <t>? New</t>
        </is>
      </c>
      <c r="C140" s="9" t="n"/>
      <c r="D140" s="8" t="n"/>
      <c r="E140" t="inlineStr">
        <is>
          <t>Little
World
School</t>
        </is>
      </c>
      <c r="F140" t="inlineStr">
        <is>
          <t>Schools</t>
        </is>
      </c>
      <c r="I140" t="inlineStr">
        <is>
          <t>Schools</t>
        </is>
      </c>
      <c r="J140" t="inlineStr">
        <is>
          <t>Do students act on confidence before validating judgment?</t>
        </is>
      </c>
      <c r="L140" s="8" t="n"/>
      <c r="N140" s="4" t="n"/>
      <c r="P140" s="4" t="n"/>
      <c r="Q140" t="inlineStr">
        <is>
          <t>Decision validation as a student/parent capability</t>
        </is>
      </c>
    </row>
    <row r="141" ht="22.5" customHeight="1" s="80">
      <c r="A141" s="4" t="n">
        <v>140</v>
      </c>
      <c r="B141" s="8" t="inlineStr">
        <is>
          <t>? New</t>
        </is>
      </c>
      <c r="C141" s="9" t="n"/>
      <c r="D141" s="8" t="n"/>
      <c r="E141" t="inlineStr">
        <is>
          <t>St. Mary's
Convent</t>
        </is>
      </c>
      <c r="F141" t="inlineStr">
        <is>
          <t>Schools</t>
        </is>
      </c>
      <c r="I141" t="inlineStr">
        <is>
          <t>Schools</t>
        </is>
      </c>
      <c r="J141" t="inlineStr">
        <is>
          <t>Do students act on confidence before validating judgment?</t>
        </is>
      </c>
      <c r="L141" s="8" t="n"/>
      <c r="N141" s="4" t="n"/>
      <c r="P141" s="4" t="n"/>
      <c r="Q141" t="inlineStr">
        <is>
          <t>Decision validation as a student/parent capability</t>
        </is>
      </c>
    </row>
    <row r="142" ht="22.5" customHeight="1" s="80">
      <c r="A142" s="4" t="n">
        <v>141</v>
      </c>
      <c r="B142" s="8" t="inlineStr">
        <is>
          <t>? New</t>
        </is>
      </c>
      <c r="C142" s="9" t="n"/>
      <c r="D142" s="8" t="n"/>
      <c r="E142" t="inlineStr">
        <is>
          <t>The
Raymond
School</t>
        </is>
      </c>
      <c r="F142" t="inlineStr">
        <is>
          <t>Schools</t>
        </is>
      </c>
      <c r="I142" t="inlineStr">
        <is>
          <t>Schools</t>
        </is>
      </c>
      <c r="J142" t="inlineStr">
        <is>
          <t>Do students act on confidence before validating judgment?</t>
        </is>
      </c>
      <c r="L142" s="8" t="n"/>
      <c r="N142" s="4" t="n"/>
      <c r="P142" s="4" t="n"/>
      <c r="Q142" t="inlineStr">
        <is>
          <t>Decision validation as a student/parent capability</t>
        </is>
      </c>
    </row>
    <row r="143" ht="22.5" customHeight="1" s="80">
      <c r="A143" s="4" t="n">
        <v>142</v>
      </c>
      <c r="B143" s="8" t="inlineStr">
        <is>
          <t>? New</t>
        </is>
      </c>
      <c r="C143" s="9" t="n"/>
      <c r="D143" s="8" t="n"/>
      <c r="E143" t="inlineStr">
        <is>
          <t>Sagar
Public
School
(Gandhi
Nagar)</t>
        </is>
      </c>
      <c r="F143" t="inlineStr">
        <is>
          <t>Schools</t>
        </is>
      </c>
      <c r="I143" t="inlineStr">
        <is>
          <t>Schools</t>
        </is>
      </c>
      <c r="J143" t="inlineStr">
        <is>
          <t>Do students act on confidence before validating judgment?</t>
        </is>
      </c>
      <c r="L143" s="8" t="n"/>
      <c r="N143" s="4" t="n"/>
      <c r="P143" s="4" t="n"/>
      <c r="Q143" t="inlineStr">
        <is>
          <t>Decision validation as a student/parent capability</t>
        </is>
      </c>
    </row>
    <row r="144" ht="22.5" customHeight="1" s="80">
      <c r="A144" s="4" t="n">
        <v>143</v>
      </c>
      <c r="B144" s="8" t="inlineStr">
        <is>
          <t>? New</t>
        </is>
      </c>
      <c r="C144" s="9" t="n"/>
      <c r="D144" s="8" t="n"/>
      <c r="E144" t="inlineStr">
        <is>
          <t>Sagar
Public
School
(Rohit
Nagar)</t>
        </is>
      </c>
      <c r="F144" t="inlineStr">
        <is>
          <t>Schools</t>
        </is>
      </c>
      <c r="I144" t="inlineStr">
        <is>
          <t>Schools</t>
        </is>
      </c>
      <c r="J144" t="inlineStr">
        <is>
          <t>Do students act on confidence before validating judgment?</t>
        </is>
      </c>
      <c r="L144" s="8" t="n"/>
      <c r="N144" s="4" t="n"/>
      <c r="P144" s="4" t="n"/>
      <c r="Q144" t="inlineStr">
        <is>
          <t>Decision validation as a student/parent capability</t>
        </is>
      </c>
    </row>
    <row r="145" ht="22.5" customHeight="1" s="80">
      <c r="A145" s="4" t="n">
        <v>144</v>
      </c>
      <c r="B145" s="8" t="inlineStr">
        <is>
          <t>? New</t>
        </is>
      </c>
      <c r="C145" s="9" t="n"/>
      <c r="D145" s="8" t="n"/>
      <c r="E145" t="inlineStr">
        <is>
          <t>Sagar
Public
School
(Katara
Extension
)</t>
        </is>
      </c>
      <c r="F145" t="inlineStr">
        <is>
          <t>Schools</t>
        </is>
      </c>
      <c r="I145" t="inlineStr">
        <is>
          <t>Schools</t>
        </is>
      </c>
      <c r="J145" t="inlineStr">
        <is>
          <t>Do students act on confidence before validating judgment?</t>
        </is>
      </c>
      <c r="L145" s="8" t="n"/>
      <c r="N145" s="4" t="n"/>
      <c r="P145" s="4" t="n"/>
      <c r="Q145" t="inlineStr">
        <is>
          <t>Decision validation as a student/parent capability</t>
        </is>
      </c>
    </row>
    <row r="146" ht="22.5" customHeight="1" s="80">
      <c r="A146" s="4" t="n">
        <v>145</v>
      </c>
      <c r="B146" s="8" t="inlineStr">
        <is>
          <t>? New</t>
        </is>
      </c>
      <c r="C146" s="9" t="n"/>
      <c r="D146" s="8" t="n"/>
      <c r="E146" t="inlineStr">
        <is>
          <t>Indore
Public
School</t>
        </is>
      </c>
      <c r="F146" t="inlineStr">
        <is>
          <t>Schools</t>
        </is>
      </c>
      <c r="I146" t="inlineStr">
        <is>
          <t>Schools</t>
        </is>
      </c>
      <c r="J146" t="inlineStr">
        <is>
          <t>Do students act on confidence before validating judgment?</t>
        </is>
      </c>
      <c r="L146" s="8" t="n"/>
      <c r="N146" s="4" t="n"/>
      <c r="P146" s="4" t="n"/>
      <c r="Q146" t="inlineStr">
        <is>
          <t>Decision validation as a student/parent capability</t>
        </is>
      </c>
    </row>
    <row r="147" ht="22.5" customHeight="1" s="80">
      <c r="A147" s="4" t="n">
        <v>146</v>
      </c>
      <c r="B147" s="8" t="inlineStr">
        <is>
          <t>? New</t>
        </is>
      </c>
      <c r="C147" s="9" t="n"/>
      <c r="D147" s="8" t="n"/>
      <c r="E147" t="inlineStr">
        <is>
          <t>Sharda
Vidya
Mandir</t>
        </is>
      </c>
      <c r="F147" t="inlineStr">
        <is>
          <t>Schools</t>
        </is>
      </c>
      <c r="I147" t="inlineStr">
        <is>
          <t>Schools</t>
        </is>
      </c>
      <c r="J147" t="inlineStr">
        <is>
          <t>Do students act on confidence before validating judgment?</t>
        </is>
      </c>
      <c r="L147" s="8" t="n"/>
      <c r="N147" s="4" t="n"/>
      <c r="P147" s="4" t="n"/>
      <c r="Q147" t="inlineStr">
        <is>
          <t>Decision validation as a student/parent capability</t>
        </is>
      </c>
    </row>
    <row r="148" ht="22.5" customHeight="1" s="80">
      <c r="A148" s="4" t="n">
        <v>147</v>
      </c>
      <c r="B148" s="8" t="inlineStr">
        <is>
          <t>? New</t>
        </is>
      </c>
      <c r="C148" s="9" t="n"/>
      <c r="D148" s="8" t="n"/>
      <c r="E148" t="inlineStr">
        <is>
          <t>Advanced
Academy</t>
        </is>
      </c>
      <c r="F148" t="inlineStr">
        <is>
          <t>Schools</t>
        </is>
      </c>
      <c r="I148" t="inlineStr">
        <is>
          <t>Schools</t>
        </is>
      </c>
      <c r="J148" t="inlineStr">
        <is>
          <t>Do students act on confidence before validating judgment?</t>
        </is>
      </c>
      <c r="L148" s="8" t="n"/>
      <c r="N148" s="4" t="n"/>
      <c r="P148" s="4" t="n"/>
      <c r="Q148" t="inlineStr">
        <is>
          <t>Decision validation as a student/parent capability</t>
        </is>
      </c>
    </row>
    <row r="149" ht="22.5" customHeight="1" s="80">
      <c r="A149" s="4" t="n">
        <v>148</v>
      </c>
      <c r="B149" s="8" t="inlineStr">
        <is>
          <t>? New</t>
        </is>
      </c>
      <c r="C149" s="9" t="n"/>
      <c r="D149" s="8" t="n"/>
      <c r="E149" t="inlineStr">
        <is>
          <t>Delhi
Public
School
(DPS)</t>
        </is>
      </c>
      <c r="F149" t="inlineStr">
        <is>
          <t>Schools</t>
        </is>
      </c>
      <c r="I149" t="inlineStr">
        <is>
          <t>Schools</t>
        </is>
      </c>
      <c r="J149" t="inlineStr">
        <is>
          <t>Do students act on confidence before validating judgment?</t>
        </is>
      </c>
      <c r="L149" s="8" t="n"/>
      <c r="N149" s="4" t="n"/>
      <c r="P149" s="4" t="n"/>
      <c r="Q149" t="inlineStr">
        <is>
          <t>Decision validation as a student/parent capability</t>
        </is>
      </c>
    </row>
    <row r="150" ht="22.5" customHeight="1" s="80">
      <c r="A150" s="4" t="n">
        <v>149</v>
      </c>
      <c r="B150" s="8" t="inlineStr">
        <is>
          <t>? New</t>
        </is>
      </c>
      <c r="C150" s="9" t="n"/>
      <c r="D150" s="8" t="n"/>
      <c r="E150" t="inlineStr">
        <is>
          <t>Joy
Senior
Secondar
y School</t>
        </is>
      </c>
      <c r="F150" t="inlineStr">
        <is>
          <t>Schools</t>
        </is>
      </c>
      <c r="I150" t="inlineStr">
        <is>
          <t>Schools</t>
        </is>
      </c>
      <c r="J150" t="inlineStr">
        <is>
          <t>Do students act on confidence before validating judgment?</t>
        </is>
      </c>
      <c r="L150" s="8" t="n"/>
      <c r="N150" s="4" t="n"/>
      <c r="P150" s="4" t="n"/>
      <c r="Q150" t="inlineStr">
        <is>
          <t>Decision validation as a student/parent capability</t>
        </is>
      </c>
    </row>
    <row r="151" ht="12.5" customHeight="1" s="80">
      <c r="A151" s="10" t="n">
        <v>150</v>
      </c>
      <c r="B151" t="inlineStr">
        <is>
          <t>? New</t>
        </is>
      </c>
      <c r="D151" s="10" t="n"/>
      <c r="E151" t="inlineStr">
        <is>
          <t>Mount
Carmel
School</t>
        </is>
      </c>
      <c r="F151" t="inlineStr">
        <is>
          <t>Schools</t>
        </is>
      </c>
      <c r="I151" t="inlineStr">
        <is>
          <t>Schools</t>
        </is>
      </c>
      <c r="J151" t="inlineStr">
        <is>
          <t>Do students act on confidence before validating judgment?</t>
        </is>
      </c>
      <c r="L151" s="60" t="n"/>
      <c r="N151" s="10" t="n"/>
      <c r="P151" s="10" t="n"/>
      <c r="Q151" t="inlineStr">
        <is>
          <t>Decision validation as a student/parent capability</t>
        </is>
      </c>
    </row>
    <row r="152" ht="12.5" customHeight="1" s="80">
      <c r="A152" s="10" t="n">
        <v>151</v>
      </c>
      <c r="B152" t="inlineStr">
        <is>
          <t>? New</t>
        </is>
      </c>
      <c r="D152" s="10" t="n"/>
      <c r="E152" t="inlineStr">
        <is>
          <t>St.
Joseph's
Co-ed
School</t>
        </is>
      </c>
      <c r="F152" t="inlineStr">
        <is>
          <t>Schools</t>
        </is>
      </c>
      <c r="I152" t="inlineStr">
        <is>
          <t>Schools</t>
        </is>
      </c>
      <c r="J152" t="inlineStr">
        <is>
          <t>Do students act on confidence before validating judgment?</t>
        </is>
      </c>
      <c r="L152" s="60" t="n"/>
      <c r="N152" s="10" t="n"/>
      <c r="P152" s="10" t="n"/>
      <c r="Q152" t="inlineStr">
        <is>
          <t>Decision validation as a student/parent capability</t>
        </is>
      </c>
    </row>
    <row r="153" ht="12.5" customHeight="1" s="80">
      <c r="A153" s="10" t="n">
        <v>152</v>
      </c>
      <c r="B153" t="inlineStr">
        <is>
          <t>? New</t>
        </is>
      </c>
      <c r="D153" s="10" t="n"/>
      <c r="E153" t="inlineStr">
        <is>
          <t>The SAGE
Internatio
nal</t>
        </is>
      </c>
      <c r="F153" t="inlineStr">
        <is>
          <t>Schools</t>
        </is>
      </c>
      <c r="I153" t="inlineStr">
        <is>
          <t>Schools</t>
        </is>
      </c>
      <c r="J153" t="inlineStr">
        <is>
          <t>Do students act on confidence before validating judgment?</t>
        </is>
      </c>
      <c r="L153" s="60" t="n"/>
      <c r="N153" s="10" t="n"/>
      <c r="P153" s="10" t="n"/>
      <c r="Q153" t="inlineStr">
        <is>
          <t>Decision validation as a student/parent capability</t>
        </is>
      </c>
    </row>
    <row r="154" ht="12.5" customHeight="1" s="80">
      <c r="A154" s="10" t="n">
        <v>153</v>
      </c>
      <c r="B154" t="inlineStr">
        <is>
          <t>? New</t>
        </is>
      </c>
      <c r="D154" s="10" t="n"/>
      <c r="E154" t="inlineStr">
        <is>
          <t>Orchids
The
Internatio
nal
School</t>
        </is>
      </c>
      <c r="F154" t="inlineStr">
        <is>
          <t>Schools</t>
        </is>
      </c>
      <c r="I154" t="inlineStr">
        <is>
          <t>Schools</t>
        </is>
      </c>
      <c r="J154" t="inlineStr">
        <is>
          <t>Do students act on confidence before validating judgment?</t>
        </is>
      </c>
      <c r="L154" s="60" t="n"/>
      <c r="N154" s="10" t="n"/>
      <c r="P154" s="10" t="n"/>
      <c r="Q154" t="inlineStr">
        <is>
          <t>Decision validation as a student/parent capability</t>
        </is>
      </c>
    </row>
    <row r="155" ht="12.5" customHeight="1" s="80">
      <c r="A155" s="10" t="n">
        <v>154</v>
      </c>
      <c r="B155" t="inlineStr">
        <is>
          <t>? New</t>
        </is>
      </c>
      <c r="D155" s="10" t="n"/>
      <c r="E155" t="inlineStr">
        <is>
          <t>Ryan
Internatio
nal
School</t>
        </is>
      </c>
      <c r="F155" t="inlineStr">
        <is>
          <t>Schools</t>
        </is>
      </c>
      <c r="I155" t="inlineStr">
        <is>
          <t>Schools</t>
        </is>
      </c>
      <c r="J155" t="inlineStr">
        <is>
          <t>Do students act on confidence before validating judgment?</t>
        </is>
      </c>
      <c r="L155" s="60" t="n"/>
      <c r="N155" s="10" t="n"/>
      <c r="P155" s="10" t="n"/>
      <c r="Q155" t="inlineStr">
        <is>
          <t>Decision validation as a student/parent capability</t>
        </is>
      </c>
    </row>
    <row r="156" ht="12.5" customHeight="1" s="80">
      <c r="A156" s="10" t="n">
        <v>155</v>
      </c>
      <c r="B156" t="inlineStr">
        <is>
          <t>? New</t>
        </is>
      </c>
      <c r="D156" s="10" t="n"/>
      <c r="E156" t="inlineStr">
        <is>
          <t>Pragyan
Higher
Secondar
y</t>
        </is>
      </c>
      <c r="F156" t="inlineStr">
        <is>
          <t>Schools</t>
        </is>
      </c>
      <c r="I156" t="inlineStr">
        <is>
          <t>Schools</t>
        </is>
      </c>
      <c r="J156" t="inlineStr">
        <is>
          <t>Do students act on confidence before validating judgment?</t>
        </is>
      </c>
      <c r="L156" s="60" t="n"/>
      <c r="N156" s="10" t="n"/>
      <c r="P156" s="10" t="n"/>
      <c r="Q156" t="inlineStr">
        <is>
          <t>Decision validation as a student/parent capability</t>
        </is>
      </c>
    </row>
    <row r="157" ht="12.5" customHeight="1" s="80">
      <c r="A157" s="10" t="n">
        <v>156</v>
      </c>
      <c r="B157" t="inlineStr">
        <is>
          <t>? New</t>
        </is>
      </c>
      <c r="D157" s="10" t="n"/>
      <c r="E157" t="inlineStr">
        <is>
          <t>Carmel
Convent
School</t>
        </is>
      </c>
      <c r="F157" t="inlineStr">
        <is>
          <t>Schools</t>
        </is>
      </c>
      <c r="I157" t="inlineStr">
        <is>
          <t>Schools</t>
        </is>
      </c>
      <c r="J157" t="inlineStr">
        <is>
          <t>Do students act on confidence before validating judgment?</t>
        </is>
      </c>
      <c r="L157" s="60" t="n"/>
      <c r="N157" s="10" t="n"/>
      <c r="P157" s="10" t="n"/>
      <c r="Q157" t="inlineStr">
        <is>
          <t>Decision validation as a student/parent capability</t>
        </is>
      </c>
    </row>
    <row r="158" ht="12.5" customHeight="1" s="80">
      <c r="A158" s="10" t="n">
        <v>157</v>
      </c>
      <c r="B158" t="inlineStr">
        <is>
          <t>? New</t>
        </is>
      </c>
      <c r="D158" s="10" t="n"/>
      <c r="E158" t="inlineStr">
        <is>
          <t>St. Paul's
Higher
Secondar
y</t>
        </is>
      </c>
      <c r="F158" t="inlineStr">
        <is>
          <t>Schools</t>
        </is>
      </c>
      <c r="I158" t="inlineStr">
        <is>
          <t>Schools</t>
        </is>
      </c>
      <c r="J158" t="inlineStr">
        <is>
          <t>Do students act on confidence before validating judgment?</t>
        </is>
      </c>
      <c r="L158" s="60" t="n"/>
      <c r="N158" s="10" t="n"/>
      <c r="P158" s="10" t="n"/>
      <c r="Q158" t="inlineStr">
        <is>
          <t>Decision validation as a student/parent capability</t>
        </is>
      </c>
    </row>
    <row r="159" ht="12.5" customHeight="1" s="80">
      <c r="A159" s="10" t="n">
        <v>158</v>
      </c>
      <c r="B159" t="inlineStr">
        <is>
          <t>? New</t>
        </is>
      </c>
      <c r="D159" s="10" t="n"/>
      <c r="E159" t="inlineStr">
        <is>
          <t>SAGE
Internatio
nal
School
(Ayodhya
)</t>
        </is>
      </c>
      <c r="F159" t="inlineStr">
        <is>
          <t>Schools</t>
        </is>
      </c>
      <c r="I159" t="inlineStr">
        <is>
          <t>Schools</t>
        </is>
      </c>
      <c r="J159" t="inlineStr">
        <is>
          <t>Do students act on confidence before validating judgment?</t>
        </is>
      </c>
      <c r="L159" s="60" t="n"/>
      <c r="N159" s="10" t="n"/>
      <c r="P159" s="10" t="n"/>
      <c r="Q159" t="inlineStr">
        <is>
          <t>Decision validation as a student/parent capability</t>
        </is>
      </c>
    </row>
    <row r="160" ht="12.5" customHeight="1" s="80">
      <c r="A160" s="10" t="n">
        <v>159</v>
      </c>
      <c r="B160" t="inlineStr">
        <is>
          <t>? New</t>
        </is>
      </c>
      <c r="D160" s="10" t="n"/>
      <c r="E160" t="inlineStr">
        <is>
          <t>Choithra
m School
(Manik
Bagh)</t>
        </is>
      </c>
      <c r="F160" t="inlineStr">
        <is>
          <t>Schools</t>
        </is>
      </c>
      <c r="I160" t="inlineStr">
        <is>
          <t>Schools</t>
        </is>
      </c>
      <c r="J160" t="inlineStr">
        <is>
          <t>Do students act on confidence before validating judgment?</t>
        </is>
      </c>
      <c r="L160" s="60" t="n"/>
      <c r="N160" s="10" t="n"/>
      <c r="P160" s="10" t="n"/>
      <c r="Q160" t="inlineStr">
        <is>
          <t>Decision validation as a student/parent capability</t>
        </is>
      </c>
    </row>
    <row r="161" ht="12.5" customHeight="1" s="80">
      <c r="A161" s="10" t="n">
        <v>160</v>
      </c>
      <c r="B161" t="inlineStr">
        <is>
          <t>? New</t>
        </is>
      </c>
      <c r="D161" s="10" t="n"/>
      <c r="E161" t="inlineStr">
        <is>
          <t>The
Raymond
School
(Sausar)</t>
        </is>
      </c>
      <c r="F161" t="inlineStr">
        <is>
          <t>Schools</t>
        </is>
      </c>
      <c r="I161" t="inlineStr">
        <is>
          <t>Schools</t>
        </is>
      </c>
      <c r="J161" t="inlineStr">
        <is>
          <t>Do students act on confidence before validating judgment?</t>
        </is>
      </c>
      <c r="L161" s="60" t="n"/>
      <c r="N161" s="10" t="n"/>
      <c r="P161" s="10" t="n"/>
      <c r="Q161" t="inlineStr">
        <is>
          <t>Decision validation as a student/parent capability</t>
        </is>
      </c>
    </row>
    <row r="162" ht="12.5" customHeight="1" s="80">
      <c r="A162" s="10" t="n">
        <v>161</v>
      </c>
      <c r="B162" t="inlineStr">
        <is>
          <t>? New</t>
        </is>
      </c>
      <c r="D162" s="10" t="n"/>
      <c r="E162" t="inlineStr">
        <is>
          <t>Greenwo
od Public
School</t>
        </is>
      </c>
      <c r="F162" t="inlineStr">
        <is>
          <t>Schools</t>
        </is>
      </c>
      <c r="I162" t="inlineStr">
        <is>
          <t>Schools</t>
        </is>
      </c>
      <c r="J162" t="inlineStr">
        <is>
          <t>Do students act on confidence before validating judgment?</t>
        </is>
      </c>
      <c r="L162" s="60" t="n"/>
      <c r="N162" s="10" t="n"/>
      <c r="P162" s="10" t="n"/>
      <c r="Q162" t="inlineStr">
        <is>
          <t>Decision validation as a student/parent capability</t>
        </is>
      </c>
    </row>
    <row r="163" ht="12.5" customHeight="1" s="80">
      <c r="A163" s="10" t="n">
        <v>162</v>
      </c>
      <c r="B163" t="inlineStr">
        <is>
          <t>? New</t>
        </is>
      </c>
      <c r="D163" s="10" t="n"/>
      <c r="E163" t="inlineStr">
        <is>
          <t>Shri Ram
Global
School</t>
        </is>
      </c>
      <c r="F163" t="inlineStr">
        <is>
          <t>Schools</t>
        </is>
      </c>
      <c r="I163" t="inlineStr">
        <is>
          <t>Schools</t>
        </is>
      </c>
      <c r="J163" t="inlineStr">
        <is>
          <t>Do students act on confidence before validating judgment?</t>
        </is>
      </c>
      <c r="L163" s="60" t="n"/>
      <c r="N163" s="10" t="n"/>
      <c r="P163" s="10" t="n"/>
      <c r="Q163" t="inlineStr">
        <is>
          <t>Decision validation as a student/parent capability</t>
        </is>
      </c>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J22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6.36328125" customWidth="1" style="80" min="1" max="1"/>
    <col width="12" customWidth="1" style="80" min="2" max="7"/>
    <col width="33" customWidth="1" style="80" min="3" max="3"/>
    <col width="34" customWidth="1" style="80" min="4" max="4"/>
    <col width="36" customWidth="1" style="80" min="5" max="5"/>
    <col width="38" customWidth="1" style="80" min="6" max="6"/>
    <col width="16" customWidth="1" style="80" min="7" max="7"/>
    <col width="14" customWidth="1" style="80" min="8" max="8"/>
    <col width="12" customWidth="1" style="80" min="9" max="9"/>
    <col width="12" customWidth="1" style="80" min="10" max="10"/>
  </cols>
  <sheetData>
    <row r="1" ht="13" customHeight="1" s="80">
      <c r="A1" s="79" t="n"/>
      <c r="B1" s="201" t="n"/>
      <c r="C1" s="201" t="n"/>
      <c r="D1" s="201" t="n"/>
      <c r="E1" s="201" t="n"/>
      <c r="F1" s="201" t="n"/>
      <c r="G1" s="201" t="n"/>
      <c r="H1" s="201" t="n"/>
      <c r="I1" s="201" t="n"/>
      <c r="J1" s="201" t="n"/>
    </row>
    <row r="2" ht="69" customHeight="1" s="80">
      <c r="A2" s="12" t="n"/>
      <c r="B2" s="202" t="inlineStr">
        <is>
          <t>FNOMO TODO EXECUTION CONTROL SHEET</t>
        </is>
      </c>
      <c r="C2" s="201" t="n"/>
      <c r="D2" s="201" t="n"/>
      <c r="E2" s="201" t="n"/>
      <c r="F2" s="201" t="n"/>
      <c r="G2" s="201" t="n"/>
      <c r="H2" s="201" t="n"/>
      <c r="I2" s="201" t="n"/>
      <c r="J2" s="201" t="n"/>
    </row>
    <row r="3" ht="12.5" customHeight="1" s="80">
      <c r="A3" s="12" t="n"/>
      <c r="B3" s="203" t="inlineStr">
        <is>
          <t>Update Task Status and Owner only. Dashboard refreshes automatically for Kush and Indu.</t>
        </is>
      </c>
      <c r="C3" s="201" t="n"/>
      <c r="D3" s="201" t="n"/>
      <c r="E3" s="201" t="n"/>
      <c r="F3" s="201" t="n"/>
      <c r="G3" s="201" t="n"/>
      <c r="H3" s="201" t="n"/>
      <c r="I3" s="201" t="n"/>
      <c r="J3" s="201" t="n"/>
    </row>
    <row r="4" ht="26.25" customHeight="1" s="80">
      <c r="A4" s="12" t="n"/>
      <c r="B4" s="204" t="inlineStr">
        <is>
          <t>Day</t>
        </is>
      </c>
      <c r="C4" s="204" t="inlineStr">
        <is>
          <t>Phase</t>
        </is>
      </c>
      <c r="D4" s="204" t="inlineStr">
        <is>
          <t>Quest Title</t>
        </is>
      </c>
      <c r="E4" s="204" t="inlineStr">
        <is>
          <t>Primary Objective</t>
        </is>
      </c>
      <c r="F4" s="204" t="inlineStr">
        <is>
          <t>Success Metric</t>
        </is>
      </c>
      <c r="G4" s="204" t="inlineStr">
        <is>
          <t>Task Status</t>
        </is>
      </c>
      <c r="H4" s="204" t="inlineStr">
        <is>
          <t>Owner</t>
        </is>
      </c>
      <c r="I4" s="204" t="inlineStr">
        <is>
          <t>Priority</t>
        </is>
      </c>
      <c r="J4" s="204" t="inlineStr">
        <is>
          <t>Progress</t>
        </is>
      </c>
    </row>
    <row r="5" ht="26.25" customHeight="1" s="80">
      <c r="A5" s="12" t="n"/>
      <c r="B5" s="205" t="inlineStr">
        <is>
          <t>Day 1</t>
        </is>
      </c>
      <c r="C5" s="206" t="inlineStr">
        <is>
          <t>Phase 1 | Association and high-value lead buildout</t>
        </is>
      </c>
      <c r="D5" s="207" t="inlineStr">
        <is>
          <t>Contact Doctor Associations</t>
        </is>
      </c>
      <c r="E5" s="207" t="inlineStr">
        <is>
          <t>Outreach to doctor associations</t>
        </is>
      </c>
      <c r="F5" s="207" t="inlineStr">
        <is>
          <t>Priority contacts identified, first outreach sent, next follow-up date logged</t>
        </is>
      </c>
      <c r="G5" s="207" t="inlineStr">
        <is>
          <t>Not Started</t>
        </is>
      </c>
      <c r="H5" s="207" t="inlineStr">
        <is>
          <t>Kush</t>
        </is>
      </c>
      <c r="I5" s="208" t="inlineStr">
        <is>
          <t>Medium</t>
        </is>
      </c>
      <c r="J5" s="209">
        <f>IF(G5="Done",1,IF(G5="In Progress",0.6,IF(G5="Waiting",0.35,IF(G5="Blocked",0.15,0))))</f>
        <v/>
      </c>
    </row>
    <row r="6" ht="26.25" customHeight="1" s="80">
      <c r="A6" s="12" t="n"/>
      <c r="B6" s="205" t="inlineStr">
        <is>
          <t>Day 2</t>
        </is>
      </c>
      <c r="C6" s="206" t="inlineStr">
        <is>
          <t>Phase 1 | Association and high-value lead buildout</t>
        </is>
      </c>
      <c r="D6" s="207" t="inlineStr">
        <is>
          <t>Contact Business Associations</t>
        </is>
      </c>
      <c r="E6" s="207" t="inlineStr">
        <is>
          <t>Outreach to business associations</t>
        </is>
      </c>
      <c r="F6" s="207" t="inlineStr">
        <is>
          <t>Priority contacts identified, first outreach sent, next follow-up date logged</t>
        </is>
      </c>
      <c r="G6" s="207" t="inlineStr">
        <is>
          <t>Not Started</t>
        </is>
      </c>
      <c r="H6" s="207" t="inlineStr">
        <is>
          <t>Kush</t>
        </is>
      </c>
      <c r="I6" s="208" t="inlineStr">
        <is>
          <t>Medium</t>
        </is>
      </c>
      <c r="J6" s="209">
        <f>IF(G6="Done",1,IF(G6="In Progress",0.6,IF(G6="Waiting",0.35,IF(G6="Blocked",0.15,0))))</f>
        <v/>
      </c>
    </row>
    <row r="7" ht="26.25" customHeight="1" s="80">
      <c r="A7" s="12" t="n"/>
      <c r="B7" s="205" t="inlineStr">
        <is>
          <t>Day 3</t>
        </is>
      </c>
      <c r="C7" s="206" t="inlineStr">
        <is>
          <t>Phase 1 | Association and high-value lead buildout</t>
        </is>
      </c>
      <c r="D7" s="207" t="inlineStr">
        <is>
          <t>Contact CA Associations</t>
        </is>
      </c>
      <c r="E7" s="207" t="inlineStr">
        <is>
          <t>Outreach to CA associations</t>
        </is>
      </c>
      <c r="F7" s="207" t="inlineStr">
        <is>
          <t>Priority contacts identified, first outreach sent, next follow-up date logged</t>
        </is>
      </c>
      <c r="G7" s="207" t="inlineStr">
        <is>
          <t>In Progress</t>
        </is>
      </c>
      <c r="H7" s="207" t="inlineStr">
        <is>
          <t>Kush</t>
        </is>
      </c>
      <c r="I7" s="208" t="inlineStr">
        <is>
          <t>Medium</t>
        </is>
      </c>
      <c r="J7" s="209">
        <f>IF(G7="Done",1,IF(G7="In Progress",0.6,IF(G7="Waiting",0.35,IF(G7="Blocked",0.15,0))))</f>
        <v/>
      </c>
    </row>
    <row r="8" ht="26.25" customHeight="1" s="80">
      <c r="A8" s="12" t="n"/>
      <c r="B8" s="205" t="inlineStr">
        <is>
          <t>Day 4</t>
        </is>
      </c>
      <c r="C8" s="206" t="inlineStr">
        <is>
          <t>Phase 1 | Association and high-value lead buildout</t>
        </is>
      </c>
      <c r="D8" s="207" t="inlineStr">
        <is>
          <t>Identify Business Owners &gt;2Cr</t>
        </is>
      </c>
      <c r="E8" s="207" t="inlineStr">
        <is>
          <t>Find and reach high value business owners</t>
        </is>
      </c>
      <c r="F8" s="207" t="inlineStr">
        <is>
          <t>Qualified target list built with owners, contacts, and next actions</t>
        </is>
      </c>
      <c r="G8" s="207" t="inlineStr">
        <is>
          <t>Not Started</t>
        </is>
      </c>
      <c r="H8" s="207" t="inlineStr">
        <is>
          <t>Kush</t>
        </is>
      </c>
      <c r="I8" s="210" t="inlineStr">
        <is>
          <t>High</t>
        </is>
      </c>
      <c r="J8" s="209">
        <f>IF(G8="Done",1,IF(G8="In Progress",0.6,IF(G8="Waiting",0.35,IF(G8="Blocked",0.15,0))))</f>
        <v/>
      </c>
    </row>
    <row r="9" ht="26.25" customHeight="1" s="80">
      <c r="B9" s="205" t="inlineStr">
        <is>
          <t>Day 5</t>
        </is>
      </c>
      <c r="C9" s="211" t="inlineStr">
        <is>
          <t>Phase 2 | Platform and channel partnerships</t>
        </is>
      </c>
      <c r="D9" s="207" t="inlineStr">
        <is>
          <t>Reach out Practo</t>
        </is>
      </c>
      <c r="E9" s="207" t="inlineStr">
        <is>
          <t>Platform partnership outreach</t>
        </is>
      </c>
      <c r="F9" s="207" t="inlineStr">
        <is>
          <t>Decision-maker identified, personalized outreach sent, reply tracked</t>
        </is>
      </c>
      <c r="G9" s="207" t="inlineStr">
        <is>
          <t>In Progress</t>
        </is>
      </c>
      <c r="H9" s="207" t="inlineStr">
        <is>
          <t>Kush</t>
        </is>
      </c>
      <c r="I9" s="210" t="inlineStr">
        <is>
          <t>High</t>
        </is>
      </c>
      <c r="J9" s="209">
        <f>IF(G9="Done",1,IF(G9="In Progress",0.6,IF(G9="Waiting",0.35,IF(G9="Blocked",0.15,0))))</f>
        <v/>
      </c>
    </row>
    <row r="10" ht="26.25" customHeight="1" s="80">
      <c r="B10" s="205" t="inlineStr">
        <is>
          <t>Day 6</t>
        </is>
      </c>
      <c r="C10" s="211" t="inlineStr">
        <is>
          <t>Phase 2 | Platform and channel partnerships</t>
        </is>
      </c>
      <c r="D10" s="207" t="inlineStr">
        <is>
          <t>Reach out Blinkit</t>
        </is>
      </c>
      <c r="E10" s="207" t="inlineStr">
        <is>
          <t>Platform partnership outreach</t>
        </is>
      </c>
      <c r="F10" s="207" t="inlineStr">
        <is>
          <t>Decision-maker identified, personalized outreach sent, reply tracked</t>
        </is>
      </c>
      <c r="G10" s="207" t="inlineStr">
        <is>
          <t>In Progress</t>
        </is>
      </c>
      <c r="H10" s="207" t="inlineStr">
        <is>
          <t>Kush</t>
        </is>
      </c>
      <c r="I10" s="210" t="inlineStr">
        <is>
          <t>High</t>
        </is>
      </c>
      <c r="J10" s="209">
        <f>IF(G10="Done",1,IF(G10="In Progress",0.6,IF(G10="Waiting",0.35,IF(G10="Blocked",0.15,0))))</f>
        <v/>
      </c>
    </row>
    <row r="11" ht="26.25" customHeight="1" s="80">
      <c r="B11" s="205" t="inlineStr">
        <is>
          <t>Day 7</t>
        </is>
      </c>
      <c r="C11" s="211" t="inlineStr">
        <is>
          <t>Phase 2 | Platform and channel partnerships</t>
        </is>
      </c>
      <c r="D11" s="207" t="inlineStr">
        <is>
          <t>Reach out Zomato</t>
        </is>
      </c>
      <c r="E11" s="207" t="inlineStr">
        <is>
          <t>Platform partnership outreach</t>
        </is>
      </c>
      <c r="F11" s="207" t="inlineStr">
        <is>
          <t>Decision-maker identified, personalized outreach sent, reply tracked</t>
        </is>
      </c>
      <c r="G11" s="207" t="inlineStr">
        <is>
          <t>In Progress</t>
        </is>
      </c>
      <c r="H11" s="207" t="inlineStr">
        <is>
          <t>Kush</t>
        </is>
      </c>
      <c r="I11" s="210" t="inlineStr">
        <is>
          <t>High</t>
        </is>
      </c>
      <c r="J11" s="209">
        <f>IF(G11="Done",1,IF(G11="In Progress",0.6,IF(G11="Waiting",0.35,IF(G11="Blocked",0.15,0))))</f>
        <v/>
      </c>
    </row>
    <row r="12" ht="26.25" customHeight="1" s="80">
      <c r="B12" s="205" t="inlineStr">
        <is>
          <t>Day 8</t>
        </is>
      </c>
      <c r="C12" s="211" t="inlineStr">
        <is>
          <t>Phase 2 | Platform and channel partnerships</t>
        </is>
      </c>
      <c r="D12" s="207" t="inlineStr">
        <is>
          <t>Reach out Swiggy</t>
        </is>
      </c>
      <c r="E12" s="207" t="inlineStr">
        <is>
          <t>Platform partnership outreach</t>
        </is>
      </c>
      <c r="F12" s="207" t="inlineStr">
        <is>
          <t>Decision-maker identified, personalized outreach sent, reply tracked</t>
        </is>
      </c>
      <c r="G12" s="207" t="inlineStr">
        <is>
          <t>In Progress</t>
        </is>
      </c>
      <c r="H12" s="207" t="inlineStr">
        <is>
          <t>Kush</t>
        </is>
      </c>
      <c r="I12" s="210" t="inlineStr">
        <is>
          <t>High</t>
        </is>
      </c>
      <c r="J12" s="209">
        <f>IF(G12="Done",1,IF(G12="In Progress",0.6,IF(G12="Waiting",0.35,IF(G12="Blocked",0.15,0))))</f>
        <v/>
      </c>
    </row>
    <row r="13" ht="26.25" customHeight="1" s="80">
      <c r="B13" s="205" t="inlineStr">
        <is>
          <t>Day 9</t>
        </is>
      </c>
      <c r="C13" s="211" t="inlineStr">
        <is>
          <t>Phase 2 | Platform and channel partnerships</t>
        </is>
      </c>
      <c r="D13" s="207" t="inlineStr">
        <is>
          <t>Reach out MyGate</t>
        </is>
      </c>
      <c r="E13" s="207" t="inlineStr">
        <is>
          <t>Platform partnership outreach</t>
        </is>
      </c>
      <c r="F13" s="207" t="inlineStr">
        <is>
          <t>Decision-maker identified, personalized outreach sent, reply tracked</t>
        </is>
      </c>
      <c r="G13" s="207" t="inlineStr">
        <is>
          <t>In Progress</t>
        </is>
      </c>
      <c r="H13" s="207" t="inlineStr">
        <is>
          <t>Kush</t>
        </is>
      </c>
      <c r="I13" s="208" t="inlineStr">
        <is>
          <t>Medium</t>
        </is>
      </c>
      <c r="J13" s="209">
        <f>IF(G13="Done",1,IF(G13="In Progress",0.6,IF(G13="Waiting",0.35,IF(G13="Blocked",0.15,0))))</f>
        <v/>
      </c>
    </row>
    <row r="14" ht="26.25" customHeight="1" s="80">
      <c r="B14" s="205" t="inlineStr">
        <is>
          <t>Day 10</t>
        </is>
      </c>
      <c r="C14" s="211" t="inlineStr">
        <is>
          <t>Phase 2 | Platform and channel partnerships</t>
        </is>
      </c>
      <c r="D14" s="207" t="inlineStr">
        <is>
          <t>Explore National Platforms</t>
        </is>
      </c>
      <c r="E14" s="207" t="inlineStr">
        <is>
          <t>Find expansion platforms</t>
        </is>
      </c>
      <c r="F14" s="207" t="inlineStr">
        <is>
          <t>New target set shortlisted and first 5 next moves defined</t>
        </is>
      </c>
      <c r="G14" s="207" t="inlineStr">
        <is>
          <t>In Progress</t>
        </is>
      </c>
      <c r="H14" s="207" t="inlineStr">
        <is>
          <t>Kush</t>
        </is>
      </c>
      <c r="I14" s="212" t="inlineStr">
        <is>
          <t>Low</t>
        </is>
      </c>
      <c r="J14" s="209">
        <f>IF(G14="Done",1,IF(G14="In Progress",0.6,IF(G14="Waiting",0.35,IF(G14="Blocked",0.15,0))))</f>
        <v/>
      </c>
    </row>
    <row r="15" ht="26.25" customHeight="1" s="80">
      <c r="B15" s="205" t="inlineStr">
        <is>
          <t>Day 11</t>
        </is>
      </c>
      <c r="C15" s="211" t="inlineStr">
        <is>
          <t>Phase 2 | Platform and channel partnerships</t>
        </is>
      </c>
      <c r="D15" s="207" t="inlineStr">
        <is>
          <t>Explore Event Platforms</t>
        </is>
      </c>
      <c r="E15" s="207" t="inlineStr">
        <is>
          <t>Find event-based growth channels</t>
        </is>
      </c>
      <c r="F15" s="207" t="inlineStr">
        <is>
          <t>New target set shortlisted and first 5 next moves defined</t>
        </is>
      </c>
      <c r="G15" s="207" t="inlineStr">
        <is>
          <t>Not Started</t>
        </is>
      </c>
      <c r="H15" s="207" t="inlineStr">
        <is>
          <t>Kush</t>
        </is>
      </c>
      <c r="I15" s="212" t="inlineStr">
        <is>
          <t>Low</t>
        </is>
      </c>
      <c r="J15" s="209">
        <f>IF(G15="Done",1,IF(G15="In Progress",0.6,IF(G15="Waiting",0.35,IF(G15="Blocked",0.15,0))))</f>
        <v/>
      </c>
    </row>
    <row r="16" ht="26.25" customHeight="1" s="80">
      <c r="B16" s="205" t="inlineStr">
        <is>
          <t>Day 12</t>
        </is>
      </c>
      <c r="C16" s="211" t="inlineStr">
        <is>
          <t>Phase 2 | Platform and channel partnerships</t>
        </is>
      </c>
      <c r="D16" s="207" t="inlineStr">
        <is>
          <t>Restaurant Partnerships</t>
        </is>
      </c>
      <c r="E16" s="207" t="inlineStr">
        <is>
          <t>Tie up with restaurants</t>
        </is>
      </c>
      <c r="F16" s="207" t="inlineStr">
        <is>
          <t>Clear deliverable completed and next step logged</t>
        </is>
      </c>
      <c r="G16" s="207" t="inlineStr">
        <is>
          <t>Not Started</t>
        </is>
      </c>
      <c r="H16" s="207" t="inlineStr">
        <is>
          <t>Kush</t>
        </is>
      </c>
      <c r="I16" s="208" t="inlineStr">
        <is>
          <t>Medium</t>
        </is>
      </c>
      <c r="J16" s="209">
        <f>IF(G16="Done",1,IF(G16="In Progress",0.6,IF(G16="Waiting",0.35,IF(G16="Blocked",0.15,0))))</f>
        <v/>
      </c>
    </row>
    <row r="17" ht="26.25" customHeight="1" s="80">
      <c r="B17" s="205" t="inlineStr">
        <is>
          <t>Day 13</t>
        </is>
      </c>
      <c r="C17" s="208" t="inlineStr">
        <is>
          <t>Phase 3 | School pipeline activation</t>
        </is>
      </c>
      <c r="D17" s="207" t="inlineStr">
        <is>
          <t>School Outreach Plan</t>
        </is>
      </c>
      <c r="E17" s="207" t="inlineStr">
        <is>
          <t>Plan school outreach strategy</t>
        </is>
      </c>
      <c r="F17" s="207" t="inlineStr">
        <is>
          <t>First batch sent, response tracker updated, follow-ups scheduled</t>
        </is>
      </c>
      <c r="G17" s="207" t="inlineStr">
        <is>
          <t>Not Started</t>
        </is>
      </c>
      <c r="H17" s="207" t="inlineStr">
        <is>
          <t>Kush</t>
        </is>
      </c>
      <c r="I17" s="210" t="inlineStr">
        <is>
          <t>High</t>
        </is>
      </c>
      <c r="J17" s="209">
        <f>IF(G17="Done",1,IF(G17="In Progress",0.6,IF(G17="Waiting",0.35,IF(G17="Blocked",0.15,0))))</f>
        <v/>
      </c>
    </row>
    <row r="18" ht="26.25" customHeight="1" s="80">
      <c r="B18" s="205" t="inlineStr">
        <is>
          <t>Day 14</t>
        </is>
      </c>
      <c r="C18" s="208" t="inlineStr">
        <is>
          <t>Phase 3 | School pipeline activation</t>
        </is>
      </c>
      <c r="D18" s="207" t="inlineStr">
        <is>
          <t>Define Target Schools</t>
        </is>
      </c>
      <c r="E18" s="207" t="inlineStr">
        <is>
          <t>Identify top schools</t>
        </is>
      </c>
      <c r="F18" s="207" t="inlineStr">
        <is>
          <t>Working criteria finalized and approved for execution use</t>
        </is>
      </c>
      <c r="G18" s="207" t="inlineStr">
        <is>
          <t>Not Started</t>
        </is>
      </c>
      <c r="H18" s="207" t="inlineStr">
        <is>
          <t>Kush</t>
        </is>
      </c>
      <c r="I18" s="208" t="inlineStr">
        <is>
          <t>Medium</t>
        </is>
      </c>
      <c r="J18" s="209">
        <f>IF(G18="Done",1,IF(G18="In Progress",0.6,IF(G18="Waiting",0.35,IF(G18="Blocked",0.15,0))))</f>
        <v/>
      </c>
    </row>
    <row r="19" ht="26.25" customHeight="1" s="80">
      <c r="B19" s="205" t="inlineStr">
        <is>
          <t>Day 15</t>
        </is>
      </c>
      <c r="C19" s="208" t="inlineStr">
        <is>
          <t>Phase 3 | School pipeline activation</t>
        </is>
      </c>
      <c r="D19" s="207" t="inlineStr">
        <is>
          <t>Identify Decision Makers</t>
        </is>
      </c>
      <c r="E19" s="207" t="inlineStr">
        <is>
          <t>Find principals and admins</t>
        </is>
      </c>
      <c r="F19" s="207" t="inlineStr">
        <is>
          <t>Qualified target list built with owners, contacts, and next actions</t>
        </is>
      </c>
      <c r="G19" s="207" t="inlineStr">
        <is>
          <t>Not Started</t>
        </is>
      </c>
      <c r="H19" s="207" t="inlineStr">
        <is>
          <t>Kush</t>
        </is>
      </c>
      <c r="I19" s="208" t="inlineStr">
        <is>
          <t>Medium</t>
        </is>
      </c>
      <c r="J19" s="209">
        <f>IF(G19="Done",1,IF(G19="In Progress",0.6,IF(G19="Waiting",0.35,IF(G19="Blocked",0.15,0))))</f>
        <v/>
      </c>
    </row>
    <row r="20" ht="26.25" customHeight="1" s="80">
      <c r="B20" s="205" t="inlineStr">
        <is>
          <t>Day 16</t>
        </is>
      </c>
      <c r="C20" s="208" t="inlineStr">
        <is>
          <t>Phase 3 | School pipeline activation</t>
        </is>
      </c>
      <c r="D20" s="207" t="inlineStr">
        <is>
          <t>Prepare Contact List</t>
        </is>
      </c>
      <c r="E20" s="207" t="inlineStr">
        <is>
          <t>Build school database</t>
        </is>
      </c>
      <c r="F20" s="207" t="inlineStr">
        <is>
          <t>Usable execution asset completed and ready for outreach</t>
        </is>
      </c>
      <c r="G20" s="207" t="inlineStr">
        <is>
          <t>Not Started</t>
        </is>
      </c>
      <c r="H20" s="207" t="inlineStr">
        <is>
          <t>Kush</t>
        </is>
      </c>
      <c r="I20" s="208" t="inlineStr">
        <is>
          <t>Medium</t>
        </is>
      </c>
      <c r="J20" s="209">
        <f>IF(G20="Done",1,IF(G20="In Progress",0.6,IF(G20="Waiting",0.35,IF(G20="Blocked",0.15,0))))</f>
        <v/>
      </c>
    </row>
    <row r="21" ht="26.25" customHeight="1" s="80">
      <c r="B21" s="205" t="inlineStr">
        <is>
          <t>Day 17</t>
        </is>
      </c>
      <c r="C21" s="208" t="inlineStr">
        <is>
          <t>Phase 3 | School pipeline activation</t>
        </is>
      </c>
      <c r="D21" s="207" t="inlineStr">
        <is>
          <t>Create Outreach Script</t>
        </is>
      </c>
      <c r="E21" s="207" t="inlineStr">
        <is>
          <t>Email and call scripts</t>
        </is>
      </c>
      <c r="F21" s="207" t="inlineStr">
        <is>
          <t>Asset built, reviewed, and ready for live use</t>
        </is>
      </c>
      <c r="G21" s="207" t="inlineStr">
        <is>
          <t>Not Started</t>
        </is>
      </c>
      <c r="H21" s="207" t="inlineStr">
        <is>
          <t>Kush</t>
        </is>
      </c>
      <c r="I21" s="208" t="inlineStr">
        <is>
          <t>Medium</t>
        </is>
      </c>
      <c r="J21" s="209">
        <f>IF(G21="Done",1,IF(G21="In Progress",0.6,IF(G21="Waiting",0.35,IF(G21="Blocked",0.15,0))))</f>
        <v/>
      </c>
    </row>
    <row r="22" ht="26.25" customHeight="1" s="80">
      <c r="B22" s="205" t="inlineStr">
        <is>
          <t>Day 18</t>
        </is>
      </c>
      <c r="C22" s="208" t="inlineStr">
        <is>
          <t>Phase 3 | School pipeline activation</t>
        </is>
      </c>
      <c r="D22" s="207" t="inlineStr">
        <is>
          <t>Workshop Proposal (Young Investor)</t>
        </is>
      </c>
      <c r="E22" s="207" t="inlineStr">
        <is>
          <t>Create workshop pitch</t>
        </is>
      </c>
      <c r="F22" s="207" t="inlineStr">
        <is>
          <t>Proposal draft completed and ready for stakeholder delivery</t>
        </is>
      </c>
      <c r="G22" s="207" t="inlineStr">
        <is>
          <t>Not Started</t>
        </is>
      </c>
      <c r="H22" s="207" t="inlineStr">
        <is>
          <t>Kush</t>
        </is>
      </c>
      <c r="I22" s="210" t="inlineStr">
        <is>
          <t>High</t>
        </is>
      </c>
      <c r="J22" s="209">
        <f>IF(G22="Done",1,IF(G22="In Progress",0.6,IF(G22="Waiting",0.35,IF(G22="Blocked",0.15,0))))</f>
        <v/>
      </c>
    </row>
    <row r="23" ht="26.25" customHeight="1" s="80">
      <c r="B23" s="205" t="inlineStr">
        <is>
          <t>Day 19</t>
        </is>
      </c>
      <c r="C23" s="208" t="inlineStr">
        <is>
          <t>Phase 3 | School pipeline activation</t>
        </is>
      </c>
      <c r="D23" s="207" t="inlineStr">
        <is>
          <t>Identify Pilot Schools</t>
        </is>
      </c>
      <c r="E23" s="207" t="inlineStr">
        <is>
          <t>Select initial schools</t>
        </is>
      </c>
      <c r="F23" s="207" t="inlineStr">
        <is>
          <t>Qualified target list built with owners, contacts, and next actions</t>
        </is>
      </c>
      <c r="G23" s="207" t="inlineStr">
        <is>
          <t>Not Started</t>
        </is>
      </c>
      <c r="H23" s="207" t="inlineStr">
        <is>
          <t>Kush</t>
        </is>
      </c>
      <c r="I23" s="210" t="inlineStr">
        <is>
          <t>High</t>
        </is>
      </c>
      <c r="J23" s="209">
        <f>IF(G23="Done",1,IF(G23="In Progress",0.6,IF(G23="Waiting",0.35,IF(G23="Blocked",0.15,0))))</f>
        <v/>
      </c>
    </row>
    <row r="24" ht="26.25" customHeight="1" s="80">
      <c r="B24" s="205" t="inlineStr">
        <is>
          <t>Day 20</t>
        </is>
      </c>
      <c r="C24" s="208" t="inlineStr">
        <is>
          <t>Phase 3 | School pipeline activation</t>
        </is>
      </c>
      <c r="D24" s="207" t="inlineStr">
        <is>
          <t>Email Outreach</t>
        </is>
      </c>
      <c r="E24" s="207" t="inlineStr">
        <is>
          <t>Send emails</t>
        </is>
      </c>
      <c r="F24" s="207" t="inlineStr">
        <is>
          <t>First batch sent, response tracker updated, follow-ups scheduled</t>
        </is>
      </c>
      <c r="G24" s="207" t="inlineStr">
        <is>
          <t>Not Started</t>
        </is>
      </c>
      <c r="H24" s="207" t="inlineStr">
        <is>
          <t>Indu</t>
        </is>
      </c>
      <c r="I24" s="210" t="inlineStr">
        <is>
          <t>High</t>
        </is>
      </c>
      <c r="J24" s="209">
        <f>IF(G24="Done",1,IF(G24="In Progress",0.6,IF(G24="Waiting",0.35,IF(G24="Blocked",0.15,0))))</f>
        <v/>
      </c>
    </row>
    <row r="25" ht="26.25" customHeight="1" s="80">
      <c r="B25" s="205" t="inlineStr">
        <is>
          <t>Day 21</t>
        </is>
      </c>
      <c r="C25" s="208" t="inlineStr">
        <is>
          <t>Phase 3 | School pipeline activation</t>
        </is>
      </c>
      <c r="D25" s="207" t="inlineStr">
        <is>
          <t>WhatsApp Outreach</t>
        </is>
      </c>
      <c r="E25" s="207" t="inlineStr">
        <is>
          <t>Send WhatsApp messages</t>
        </is>
      </c>
      <c r="F25" s="207" t="inlineStr">
        <is>
          <t>First batch sent, response tracker updated, follow-ups scheduled</t>
        </is>
      </c>
      <c r="G25" s="207" t="inlineStr">
        <is>
          <t>Not Started</t>
        </is>
      </c>
      <c r="H25" s="207" t="inlineStr">
        <is>
          <t>Indu</t>
        </is>
      </c>
      <c r="I25" s="210" t="inlineStr">
        <is>
          <t>High</t>
        </is>
      </c>
      <c r="J25" s="209">
        <f>IF(G25="Done",1,IF(G25="In Progress",0.6,IF(G25="Waiting",0.35,IF(G25="Blocked",0.15,0))))</f>
        <v/>
      </c>
    </row>
    <row r="26" ht="26.25" customHeight="1" s="80">
      <c r="B26" s="205" t="inlineStr">
        <is>
          <t>Day 22</t>
        </is>
      </c>
      <c r="C26" s="208" t="inlineStr">
        <is>
          <t>Phase 3 | School pipeline activation</t>
        </is>
      </c>
      <c r="D26" s="207" t="inlineStr">
        <is>
          <t>Find Webinar Platforms</t>
        </is>
      </c>
      <c r="E26" s="207" t="inlineStr">
        <is>
          <t>Identify webinar tools</t>
        </is>
      </c>
      <c r="F26" s="207" t="inlineStr">
        <is>
          <t>Campaign plan finalized with target audience, owner, and first launch date</t>
        </is>
      </c>
      <c r="G26" s="207" t="inlineStr">
        <is>
          <t>Not Started</t>
        </is>
      </c>
      <c r="H26" s="207" t="inlineStr">
        <is>
          <t>Kush</t>
        </is>
      </c>
      <c r="I26" s="212" t="inlineStr">
        <is>
          <t>Low</t>
        </is>
      </c>
      <c r="J26" s="209">
        <f>IF(G26="Done",1,IF(G26="In Progress",0.6,IF(G26="Waiting",0.35,IF(G26="Blocked",0.15,0))))</f>
        <v/>
      </c>
    </row>
    <row r="27" ht="26.25" customHeight="1" s="80">
      <c r="B27" s="205" t="inlineStr">
        <is>
          <t>Day 23</t>
        </is>
      </c>
      <c r="C27" s="213" t="inlineStr">
        <is>
          <t>Phase 4 | Execution infrastructure and assets</t>
        </is>
      </c>
      <c r="D27" s="207" t="inlineStr">
        <is>
          <t>Platform Placement</t>
        </is>
      </c>
      <c r="E27" s="207" t="inlineStr">
        <is>
          <t>Place Fnomo inside partner apps</t>
        </is>
      </c>
      <c r="F27" s="207" t="inlineStr">
        <is>
          <t>Clear deliverable completed and next step logged</t>
        </is>
      </c>
      <c r="G27" s="207" t="inlineStr">
        <is>
          <t>Not Started</t>
        </is>
      </c>
      <c r="H27" s="207" t="inlineStr">
        <is>
          <t>Kush</t>
        </is>
      </c>
      <c r="I27" s="210" t="inlineStr">
        <is>
          <t>High</t>
        </is>
      </c>
      <c r="J27" s="209">
        <f>IF(G27="Done",1,IF(G27="In Progress",0.6,IF(G27="Waiting",0.35,IF(G27="Blocked",0.15,0))))</f>
        <v/>
      </c>
    </row>
    <row r="28" ht="26.25" customHeight="1" s="80">
      <c r="B28" s="205" t="inlineStr">
        <is>
          <t>Day 24</t>
        </is>
      </c>
      <c r="C28" s="213" t="inlineStr">
        <is>
          <t>Phase 4 | Execution infrastructure and assets</t>
        </is>
      </c>
      <c r="D28" s="207" t="inlineStr">
        <is>
          <t>List on Product Hunt</t>
        </is>
      </c>
      <c r="E28" s="207" t="inlineStr">
        <is>
          <t>Launch on Product Hunt</t>
        </is>
      </c>
      <c r="F28" s="207" t="inlineStr">
        <is>
          <t>Clear deliverable completed and next step logged</t>
        </is>
      </c>
      <c r="G28" s="207" t="inlineStr">
        <is>
          <t>Not Started</t>
        </is>
      </c>
      <c r="H28" s="207" t="inlineStr">
        <is>
          <t>Kush</t>
        </is>
      </c>
      <c r="I28" s="208" t="inlineStr">
        <is>
          <t>Medium</t>
        </is>
      </c>
      <c r="J28" s="209">
        <f>IF(G28="Done",1,IF(G28="In Progress",0.6,IF(G28="Waiting",0.35,IF(G28="Blocked",0.15,0))))</f>
        <v/>
      </c>
    </row>
    <row r="29" ht="12.5" customHeight="1" s="80">
      <c r="B29" s="205" t="inlineStr">
        <is>
          <t>Day 25</t>
        </is>
      </c>
      <c r="C29" s="213" t="inlineStr">
        <is>
          <t>Phase 4 | Execution infrastructure and assets</t>
        </is>
      </c>
      <c r="D29" s="207" t="inlineStr">
        <is>
          <t>Talk to Data Providers</t>
        </is>
      </c>
      <c r="E29" s="207" t="inlineStr">
        <is>
          <t>Direct outreach to data providers</t>
        </is>
      </c>
      <c r="F29" s="207" t="inlineStr">
        <is>
          <t>Clear deliverable completed and next step logged</t>
        </is>
      </c>
      <c r="G29" s="207" t="inlineStr">
        <is>
          <t>Not Started</t>
        </is>
      </c>
      <c r="H29" s="207" t="inlineStr">
        <is>
          <t>Kush</t>
        </is>
      </c>
      <c r="I29" s="210" t="inlineStr">
        <is>
          <t>High</t>
        </is>
      </c>
      <c r="J29" s="209">
        <f>IF(G29="Done",1,IF(G29="In Progress",0.6,IF(G29="Waiting",0.35,IF(G29="Blocked",0.15,0))))</f>
        <v/>
      </c>
    </row>
    <row r="30" ht="12.5" customHeight="1" s="80">
      <c r="B30" s="205" t="inlineStr">
        <is>
          <t>Day 26</t>
        </is>
      </c>
      <c r="C30" s="213" t="inlineStr">
        <is>
          <t>Phase 4 | Execution infrastructure and assets</t>
        </is>
      </c>
      <c r="D30" s="207" t="inlineStr">
        <is>
          <t>Create Demo Video</t>
        </is>
      </c>
      <c r="E30" s="207" t="inlineStr">
        <is>
          <t>Build product demo</t>
        </is>
      </c>
      <c r="F30" s="207" t="inlineStr">
        <is>
          <t>Asset built, reviewed, and ready for live use</t>
        </is>
      </c>
      <c r="G30" s="207" t="inlineStr">
        <is>
          <t>Not Started</t>
        </is>
      </c>
      <c r="H30" s="207" t="inlineStr">
        <is>
          <t>Kush</t>
        </is>
      </c>
      <c r="I30" s="210" t="inlineStr">
        <is>
          <t>High</t>
        </is>
      </c>
      <c r="J30" s="209">
        <f>IF(G30="Done",1,IF(G30="In Progress",0.6,IF(G30="Waiting",0.35,IF(G30="Blocked",0.15,0))))</f>
        <v/>
      </c>
    </row>
    <row r="31" ht="12.5" customHeight="1" s="80">
      <c r="B31" s="205" t="inlineStr">
        <is>
          <t>Day 27</t>
        </is>
      </c>
      <c r="C31" s="213" t="inlineStr">
        <is>
          <t>Phase 4 | Execution infrastructure and assets</t>
        </is>
      </c>
      <c r="D31" s="207" t="inlineStr">
        <is>
          <t>Setup WhatsApp System</t>
        </is>
      </c>
      <c r="E31" s="207" t="inlineStr">
        <is>
          <t>Setup outreach system</t>
        </is>
      </c>
      <c r="F31" s="207" t="inlineStr">
        <is>
          <t>System configured, tested, and ready for daily execution</t>
        </is>
      </c>
      <c r="G31" s="207" t="inlineStr">
        <is>
          <t>Not Started</t>
        </is>
      </c>
      <c r="H31" s="207" t="inlineStr">
        <is>
          <t>Kush</t>
        </is>
      </c>
      <c r="I31" s="208" t="inlineStr">
        <is>
          <t>Medium</t>
        </is>
      </c>
      <c r="J31" s="209">
        <f>IF(G31="Done",1,IF(G31="In Progress",0.6,IF(G31="Waiting",0.35,IF(G31="Blocked",0.15,0))))</f>
        <v/>
      </c>
    </row>
    <row r="32" ht="12.5" customHeight="1" s="80">
      <c r="B32" s="205" t="inlineStr">
        <is>
          <t>Day 28</t>
        </is>
      </c>
      <c r="C32" s="213" t="inlineStr">
        <is>
          <t>Phase 4 | Execution infrastructure and assets</t>
        </is>
      </c>
      <c r="D32" s="207" t="inlineStr">
        <is>
          <t>Setup Telegram System</t>
        </is>
      </c>
      <c r="E32" s="207" t="inlineStr">
        <is>
          <t>Setup outreach system</t>
        </is>
      </c>
      <c r="F32" s="207" t="inlineStr">
        <is>
          <t>System configured, tested, and ready for daily execution</t>
        </is>
      </c>
      <c r="G32" s="207" t="inlineStr">
        <is>
          <t>Not Started</t>
        </is>
      </c>
      <c r="H32" s="207" t="inlineStr">
        <is>
          <t>Kush</t>
        </is>
      </c>
      <c r="I32" s="208" t="inlineStr">
        <is>
          <t>Medium</t>
        </is>
      </c>
      <c r="J32" s="209">
        <f>IF(G32="Done",1,IF(G32="In Progress",0.6,IF(G32="Waiting",0.35,IF(G32="Blocked",0.15,0))))</f>
        <v/>
      </c>
    </row>
    <row r="33" ht="12.5" customHeight="1" s="80">
      <c r="B33" s="205" t="inlineStr">
        <is>
          <t>Day 29</t>
        </is>
      </c>
      <c r="C33" s="214" t="inlineStr">
        <is>
          <t>Phase 5 | Commercial model finalization</t>
        </is>
      </c>
      <c r="D33" s="207" t="inlineStr">
        <is>
          <t>Revenue Share 30%</t>
        </is>
      </c>
      <c r="E33" s="207" t="inlineStr">
        <is>
          <t>Define revenue model</t>
        </is>
      </c>
      <c r="F33" s="207" t="inlineStr">
        <is>
          <t>Commercial structure defined with clear partner-facing terms</t>
        </is>
      </c>
      <c r="G33" s="207" t="inlineStr">
        <is>
          <t>Not Started</t>
        </is>
      </c>
      <c r="H33" s="207" t="inlineStr">
        <is>
          <t>Kush</t>
        </is>
      </c>
      <c r="I33" s="210" t="inlineStr">
        <is>
          <t>High</t>
        </is>
      </c>
      <c r="J33" s="209">
        <f>IF(G33="Done",1,IF(G33="In Progress",0.6,IF(G33="Waiting",0.35,IF(G33="Blocked",0.15,0))))</f>
        <v/>
      </c>
    </row>
    <row r="34" ht="12.5" customHeight="1" s="80">
      <c r="B34" s="205" t="inlineStr">
        <is>
          <t>Day 30</t>
        </is>
      </c>
      <c r="C34" s="214" t="inlineStr">
        <is>
          <t>Phase 5 | Commercial model finalization</t>
        </is>
      </c>
      <c r="D34" s="207" t="inlineStr">
        <is>
          <t>Coupon Model 20-30%</t>
        </is>
      </c>
      <c r="E34" s="207" t="inlineStr">
        <is>
          <t>Discount structure</t>
        </is>
      </c>
      <c r="F34" s="207" t="inlineStr">
        <is>
          <t>Commercial structure defined with clear partner-facing terms</t>
        </is>
      </c>
      <c r="G34" s="207" t="inlineStr">
        <is>
          <t>Not Started</t>
        </is>
      </c>
      <c r="H34" s="207" t="inlineStr">
        <is>
          <t>Kush</t>
        </is>
      </c>
      <c r="I34" s="208" t="inlineStr">
        <is>
          <t>Medium</t>
        </is>
      </c>
      <c r="J34" s="209">
        <f>IF(G34="Done",1,IF(G34="In Progress",0.6,IF(G34="Waiting",0.35,IF(G34="Blocked",0.15,0))))</f>
        <v/>
      </c>
    </row>
    <row r="35" ht="12.5" customHeight="1" s="80">
      <c r="B35" s="205" t="inlineStr">
        <is>
          <t>Day 31</t>
        </is>
      </c>
      <c r="C35" s="214" t="inlineStr">
        <is>
          <t>Phase 5 | Commercial model finalization</t>
        </is>
      </c>
      <c r="D35" s="207" t="inlineStr">
        <is>
          <t>Platform Commission</t>
        </is>
      </c>
      <c r="E35" s="207" t="inlineStr">
        <is>
          <t>Define commission</t>
        </is>
      </c>
      <c r="F35" s="207" t="inlineStr">
        <is>
          <t>Commercial structure defined with clear partner-facing terms</t>
        </is>
      </c>
      <c r="G35" s="207" t="inlineStr">
        <is>
          <t>Not Started</t>
        </is>
      </c>
      <c r="H35" s="207" t="inlineStr">
        <is>
          <t>Kush</t>
        </is>
      </c>
      <c r="I35" s="208" t="inlineStr">
        <is>
          <t>Medium</t>
        </is>
      </c>
      <c r="J35" s="209">
        <f>IF(G35="Done",1,IF(G35="In Progress",0.6,IF(G35="Waiting",0.35,IF(G35="Blocked",0.15,0))))</f>
        <v/>
      </c>
    </row>
    <row r="36" ht="12.5" customHeight="1" s="80">
      <c r="B36" s="205" t="inlineStr">
        <is>
          <t>Day 32</t>
        </is>
      </c>
      <c r="C36" s="214" t="inlineStr">
        <is>
          <t>Phase 5 | Commercial model finalization</t>
        </is>
      </c>
      <c r="D36" s="207" t="inlineStr">
        <is>
          <t>Partner Incentives</t>
        </is>
      </c>
      <c r="E36" s="207" t="inlineStr">
        <is>
          <t>Define incentives</t>
        </is>
      </c>
      <c r="F36" s="207" t="inlineStr">
        <is>
          <t>Commercial structure defined with clear partner-facing terms</t>
        </is>
      </c>
      <c r="G36" s="207" t="inlineStr">
        <is>
          <t>Not Started</t>
        </is>
      </c>
      <c r="H36" s="207" t="inlineStr">
        <is>
          <t>Kush</t>
        </is>
      </c>
      <c r="I36" s="208" t="inlineStr">
        <is>
          <t>Medium</t>
        </is>
      </c>
      <c r="J36" s="209">
        <f>IF(G36="Done",1,IF(G36="In Progress",0.6,IF(G36="Waiting",0.35,IF(G36="Blocked",0.15,0))))</f>
        <v/>
      </c>
    </row>
    <row r="37" ht="12.5" customHeight="1" s="80">
      <c r="B37" s="205" t="inlineStr">
        <is>
          <t>Day 33</t>
        </is>
      </c>
      <c r="C37" s="215" t="inlineStr">
        <is>
          <t>Phase 6 | Demand generation and trust building</t>
        </is>
      </c>
      <c r="D37" s="207" t="inlineStr">
        <is>
          <t>Pan India Feedback Campaign</t>
        </is>
      </c>
      <c r="E37" s="207" t="inlineStr">
        <is>
          <t>Collect user feedback</t>
        </is>
      </c>
      <c r="F37" s="207" t="inlineStr">
        <is>
          <t>Campaign plan finalized with target audience, owner, and first launch date</t>
        </is>
      </c>
      <c r="G37" s="207" t="inlineStr">
        <is>
          <t>Not Started</t>
        </is>
      </c>
      <c r="H37" s="207" t="inlineStr">
        <is>
          <t>Kush</t>
        </is>
      </c>
      <c r="I37" s="210" t="inlineStr">
        <is>
          <t>High</t>
        </is>
      </c>
      <c r="J37" s="209">
        <f>IF(G37="Done",1,IF(G37="In Progress",0.6,IF(G37="Waiting",0.35,IF(G37="Blocked",0.15,0))))</f>
        <v/>
      </c>
    </row>
    <row r="38" ht="12.5" customHeight="1" s="80">
      <c r="B38" s="205" t="inlineStr">
        <is>
          <t>Day 34</t>
        </is>
      </c>
      <c r="C38" s="215" t="inlineStr">
        <is>
          <t>Phase 6 | Demand generation and trust building</t>
        </is>
      </c>
      <c r="D38" s="207" t="inlineStr">
        <is>
          <t>Women Investing Webinars</t>
        </is>
      </c>
      <c r="E38" s="207" t="inlineStr">
        <is>
          <t>Run webinars for women</t>
        </is>
      </c>
      <c r="F38" s="207" t="inlineStr">
        <is>
          <t>Campaign plan finalized with target audience, owner, and first launch date</t>
        </is>
      </c>
      <c r="G38" s="207" t="inlineStr">
        <is>
          <t>Not Started</t>
        </is>
      </c>
      <c r="H38" s="207" t="inlineStr">
        <is>
          <t>Kush</t>
        </is>
      </c>
      <c r="I38" s="210" t="inlineStr">
        <is>
          <t>High</t>
        </is>
      </c>
      <c r="J38" s="209">
        <f>IF(G38="Done",1,IF(G38="In Progress",0.6,IF(G38="Waiting",0.35,IF(G38="Blocked",0.15,0))))</f>
        <v/>
      </c>
    </row>
    <row r="39" ht="12.5" customHeight="1" s="80">
      <c r="B39" s="205" t="inlineStr">
        <is>
          <t>Day 35</t>
        </is>
      </c>
      <c r="C39" s="215" t="inlineStr">
        <is>
          <t>Phase 6 | Demand generation and trust building</t>
        </is>
      </c>
      <c r="D39" s="207" t="inlineStr">
        <is>
          <t>Buffet Sessions (Founder)</t>
        </is>
      </c>
      <c r="E39" s="207" t="inlineStr">
        <is>
          <t>Founder-led sessions</t>
        </is>
      </c>
      <c r="F39" s="207" t="inlineStr">
        <is>
          <t>Campaign plan finalized with target audience, owner, and first launch date</t>
        </is>
      </c>
      <c r="G39" s="207" t="inlineStr">
        <is>
          <t>Not Started</t>
        </is>
      </c>
      <c r="H39" s="207" t="inlineStr">
        <is>
          <t>Kush</t>
        </is>
      </c>
      <c r="I39" s="208" t="inlineStr">
        <is>
          <t>Medium</t>
        </is>
      </c>
      <c r="J39" s="209">
        <f>IF(G39="Done",1,IF(G39="In Progress",0.6,IF(G39="Waiting",0.35,IF(G39="Blocked",0.15,0))))</f>
        <v/>
      </c>
    </row>
    <row r="40" ht="12.5" customHeight="1" s="80">
      <c r="B40" s="205" t="inlineStr">
        <is>
          <t>Day 36</t>
        </is>
      </c>
      <c r="C40" s="215" t="inlineStr">
        <is>
          <t>Phase 6 | Demand generation and trust building</t>
        </is>
      </c>
      <c r="D40" s="207" t="inlineStr">
        <is>
          <t>Free Investing Sessions</t>
        </is>
      </c>
      <c r="E40" s="207" t="inlineStr">
        <is>
          <t>General sessions</t>
        </is>
      </c>
      <c r="F40" s="207" t="inlineStr">
        <is>
          <t>Campaign plan finalized with target audience, owner, and first launch date</t>
        </is>
      </c>
      <c r="G40" s="207" t="inlineStr">
        <is>
          <t>Not Started</t>
        </is>
      </c>
      <c r="H40" s="207" t="inlineStr">
        <is>
          <t>Kush</t>
        </is>
      </c>
      <c r="I40" s="208" t="inlineStr">
        <is>
          <t>Medium</t>
        </is>
      </c>
      <c r="J40" s="209">
        <f>IF(G40="Done",1,IF(G40="In Progress",0.6,IF(G40="Waiting",0.35,IF(G40="Blocked",0.15,0))))</f>
        <v/>
      </c>
    </row>
    <row r="41" ht="12.5" customHeight="1" s="80">
      <c r="B41" s="201" t="n"/>
      <c r="C41" s="201" t="n"/>
      <c r="D41" s="201" t="n"/>
      <c r="E41" s="201" t="n"/>
      <c r="F41" s="201" t="n"/>
      <c r="G41" s="201" t="n"/>
      <c r="H41" s="201" t="n"/>
      <c r="I41" s="201" t="n"/>
      <c r="J41" s="201" t="n"/>
    </row>
    <row r="42" ht="12.5" customHeight="1" s="80">
      <c r="B42" s="201" t="n"/>
      <c r="C42" s="201" t="n"/>
      <c r="D42" s="201" t="n"/>
      <c r="E42" s="201" t="n"/>
      <c r="F42" s="201" t="n"/>
      <c r="G42" s="201" t="n"/>
      <c r="H42" s="201" t="n"/>
      <c r="I42" s="201" t="n"/>
      <c r="J42" s="201" t="n"/>
    </row>
    <row r="43" ht="12.5" customHeight="1" s="80">
      <c r="B43" s="201" t="n"/>
      <c r="C43" s="201" t="n"/>
      <c r="D43" s="201" t="n"/>
      <c r="E43" s="201" t="n"/>
      <c r="F43" s="201" t="n"/>
      <c r="G43" s="201" t="n"/>
      <c r="H43" s="201" t="n"/>
      <c r="I43" s="201" t="n"/>
      <c r="J43" s="201" t="n"/>
    </row>
    <row r="44" ht="12.5" customHeight="1" s="80">
      <c r="B44" s="201" t="n"/>
      <c r="C44" s="201" t="n"/>
      <c r="D44" s="201" t="n"/>
      <c r="E44" s="201" t="n"/>
      <c r="F44" s="201" t="n"/>
      <c r="G44" s="201" t="n"/>
      <c r="H44" s="201" t="n"/>
      <c r="I44" s="201" t="n"/>
      <c r="J44" s="201" t="n"/>
    </row>
    <row r="45" ht="12.5" customHeight="1" s="80">
      <c r="B45" s="201" t="n"/>
      <c r="C45" s="201" t="n"/>
      <c r="D45" s="201" t="n"/>
      <c r="E45" s="201" t="n"/>
      <c r="F45" s="201" t="n"/>
      <c r="G45" s="201" t="n"/>
      <c r="H45" s="201" t="n"/>
      <c r="I45" s="201" t="n"/>
      <c r="J45" s="201" t="n"/>
    </row>
    <row r="46" ht="12.5" customHeight="1" s="80">
      <c r="B46" s="201" t="n"/>
      <c r="C46" s="201" t="n"/>
      <c r="D46" s="201" t="n"/>
      <c r="E46" s="201" t="n"/>
      <c r="F46" s="201" t="n"/>
      <c r="G46" s="201" t="n"/>
      <c r="H46" s="201" t="n"/>
      <c r="I46" s="201" t="n"/>
      <c r="J46" s="201" t="n"/>
    </row>
    <row r="47" ht="12.5" customHeight="1" s="80">
      <c r="B47" s="201" t="n"/>
      <c r="C47" s="201" t="n"/>
      <c r="D47" s="201" t="n"/>
      <c r="E47" s="201" t="n"/>
      <c r="F47" s="201" t="n"/>
      <c r="G47" s="201" t="n"/>
      <c r="H47" s="201" t="n"/>
      <c r="I47" s="201" t="n"/>
      <c r="J47" s="201" t="n"/>
    </row>
    <row r="48" ht="12.5" customHeight="1" s="80">
      <c r="B48" s="201" t="n"/>
      <c r="C48" s="201" t="n"/>
      <c r="D48" s="201" t="n"/>
      <c r="E48" s="201" t="n"/>
      <c r="F48" s="201" t="n"/>
      <c r="G48" s="201" t="n"/>
      <c r="H48" s="201" t="n"/>
      <c r="I48" s="201" t="n"/>
      <c r="J48" s="201" t="n"/>
    </row>
    <row r="49" ht="12.5" customHeight="1" s="80">
      <c r="B49" s="201" t="n"/>
      <c r="C49" s="201" t="n"/>
      <c r="D49" s="201" t="n"/>
      <c r="E49" s="201" t="n"/>
      <c r="F49" s="201" t="n"/>
      <c r="G49" s="201" t="n"/>
      <c r="H49" s="201" t="n"/>
      <c r="I49" s="201" t="n"/>
      <c r="J49" s="201" t="n"/>
    </row>
    <row r="50" ht="12.5" customHeight="1" s="80">
      <c r="B50" s="201" t="n"/>
      <c r="C50" s="201" t="n"/>
      <c r="D50" s="201" t="n"/>
      <c r="E50" s="201" t="n"/>
      <c r="F50" s="201" t="n"/>
      <c r="G50" s="201" t="n"/>
      <c r="H50" s="201" t="n"/>
      <c r="I50" s="201" t="n"/>
      <c r="J50" s="201" t="n"/>
    </row>
    <row r="51" ht="12.5" customHeight="1" s="80">
      <c r="B51" s="201" t="n"/>
      <c r="C51" s="201" t="n"/>
      <c r="D51" s="201" t="n"/>
      <c r="E51" s="201" t="n"/>
      <c r="F51" s="201" t="n"/>
      <c r="G51" s="201" t="n"/>
      <c r="H51" s="201" t="n"/>
      <c r="I51" s="201" t="n"/>
      <c r="J51" s="201" t="n"/>
    </row>
    <row r="52" ht="12.5" customHeight="1" s="80">
      <c r="B52" s="201" t="n"/>
      <c r="C52" s="201" t="n"/>
      <c r="D52" s="201" t="n"/>
      <c r="E52" s="201" t="n"/>
      <c r="F52" s="201" t="n"/>
      <c r="G52" s="201" t="n"/>
      <c r="H52" s="201" t="n"/>
      <c r="I52" s="201" t="n"/>
      <c r="J52" s="201" t="n"/>
    </row>
    <row r="53" ht="12.5" customHeight="1" s="80">
      <c r="B53" s="201" t="n"/>
      <c r="C53" s="201" t="n"/>
      <c r="D53" s="201" t="n"/>
      <c r="E53" s="201" t="n"/>
      <c r="F53" s="201" t="n"/>
      <c r="G53" s="201" t="n"/>
      <c r="H53" s="201" t="n"/>
      <c r="I53" s="201" t="n"/>
      <c r="J53" s="201" t="n"/>
    </row>
    <row r="54" ht="12.5" customHeight="1" s="80">
      <c r="B54" s="201" t="n"/>
      <c r="C54" s="201" t="n"/>
      <c r="D54" s="201" t="n"/>
      <c r="E54" s="201" t="n"/>
      <c r="F54" s="201" t="n"/>
      <c r="G54" s="201" t="n"/>
      <c r="H54" s="201" t="n"/>
      <c r="I54" s="201" t="n"/>
      <c r="J54" s="201" t="n"/>
    </row>
    <row r="55" ht="12.5" customHeight="1" s="80">
      <c r="B55" s="201" t="n"/>
      <c r="C55" s="201" t="n"/>
      <c r="D55" s="201" t="n"/>
      <c r="E55" s="201" t="n"/>
      <c r="F55" s="201" t="n"/>
      <c r="G55" s="201" t="n"/>
      <c r="H55" s="201" t="n"/>
      <c r="I55" s="201" t="n"/>
      <c r="J55" s="201" t="n"/>
    </row>
    <row r="56" ht="12.5" customHeight="1" s="80">
      <c r="B56" s="201" t="n"/>
      <c r="C56" s="201" t="n"/>
      <c r="D56" s="201" t="n"/>
      <c r="E56" s="201" t="n"/>
      <c r="F56" s="201" t="n"/>
      <c r="G56" s="201" t="n"/>
      <c r="H56" s="201" t="n"/>
      <c r="I56" s="201" t="n"/>
      <c r="J56" s="201" t="n"/>
    </row>
    <row r="57" ht="12.5" customHeight="1" s="80">
      <c r="B57" s="201" t="n"/>
      <c r="C57" s="201" t="n"/>
      <c r="D57" s="201" t="n"/>
      <c r="E57" s="201" t="n"/>
      <c r="F57" s="201" t="n"/>
      <c r="G57" s="201" t="n"/>
      <c r="H57" s="201" t="n"/>
      <c r="I57" s="201" t="n"/>
      <c r="J57" s="201" t="n"/>
    </row>
    <row r="58" ht="12.5" customHeight="1" s="80">
      <c r="B58" s="201" t="n"/>
      <c r="C58" s="201" t="n"/>
      <c r="D58" s="201" t="n"/>
      <c r="E58" s="201" t="n"/>
      <c r="F58" s="201" t="n"/>
      <c r="G58" s="201" t="n"/>
      <c r="H58" s="201" t="n"/>
      <c r="I58" s="201" t="n"/>
      <c r="J58" s="201" t="n"/>
    </row>
    <row r="59" ht="12.5" customHeight="1" s="80">
      <c r="B59" s="201" t="n"/>
      <c r="C59" s="201" t="n"/>
      <c r="D59" s="201" t="n"/>
      <c r="E59" s="201" t="n"/>
      <c r="F59" s="201" t="n"/>
      <c r="G59" s="201" t="n"/>
      <c r="H59" s="201" t="n"/>
      <c r="I59" s="201" t="n"/>
      <c r="J59" s="201" t="n"/>
    </row>
    <row r="60" ht="12.5" customHeight="1" s="80">
      <c r="B60" s="201" t="n"/>
      <c r="C60" s="201" t="n"/>
      <c r="D60" s="201" t="n"/>
      <c r="E60" s="201" t="n"/>
      <c r="F60" s="201" t="n"/>
      <c r="G60" s="201" t="n"/>
      <c r="H60" s="201" t="n"/>
      <c r="I60" s="201" t="n"/>
      <c r="J60" s="201" t="n"/>
    </row>
    <row r="61" ht="12.5" customHeight="1" s="80">
      <c r="B61" s="201" t="n"/>
      <c r="C61" s="201" t="n"/>
      <c r="D61" s="201" t="n"/>
      <c r="E61" s="201" t="n"/>
      <c r="F61" s="201" t="n"/>
      <c r="G61" s="201" t="n"/>
      <c r="H61" s="201" t="n"/>
      <c r="I61" s="201" t="n"/>
      <c r="J61" s="201" t="n"/>
    </row>
    <row r="62" ht="12.5" customHeight="1" s="80">
      <c r="B62" s="201" t="n"/>
      <c r="C62" s="201" t="n"/>
      <c r="D62" s="201" t="n"/>
      <c r="E62" s="201" t="n"/>
      <c r="F62" s="201" t="n"/>
      <c r="G62" s="201" t="n"/>
      <c r="H62" s="201" t="n"/>
      <c r="I62" s="201" t="n"/>
      <c r="J62" s="201" t="n"/>
    </row>
    <row r="63" ht="12.5" customHeight="1" s="80">
      <c r="B63" s="201" t="n"/>
      <c r="C63" s="201" t="n"/>
      <c r="D63" s="201" t="n"/>
      <c r="E63" s="201" t="n"/>
      <c r="F63" s="201" t="n"/>
      <c r="G63" s="201" t="n"/>
      <c r="H63" s="201" t="n"/>
      <c r="I63" s="201" t="n"/>
      <c r="J63" s="201" t="n"/>
    </row>
    <row r="64" ht="12.5" customHeight="1" s="80">
      <c r="B64" s="201" t="n"/>
      <c r="C64" s="201" t="n"/>
      <c r="D64" s="201" t="n"/>
      <c r="E64" s="201" t="n"/>
      <c r="F64" s="201" t="n"/>
      <c r="G64" s="201" t="n"/>
      <c r="H64" s="201" t="n"/>
      <c r="I64" s="201" t="n"/>
      <c r="J64" s="201" t="n"/>
    </row>
    <row r="65" ht="12.5" customHeight="1" s="80">
      <c r="B65" s="201" t="n"/>
      <c r="C65" s="201" t="n"/>
      <c r="D65" s="201" t="n"/>
      <c r="E65" s="201" t="n"/>
      <c r="F65" s="201" t="n"/>
      <c r="G65" s="201" t="n"/>
      <c r="H65" s="201" t="n"/>
      <c r="I65" s="201" t="n"/>
      <c r="J65" s="201" t="n"/>
    </row>
    <row r="66" ht="12.5" customHeight="1" s="80">
      <c r="B66" s="201" t="n"/>
      <c r="C66" s="201" t="n"/>
      <c r="D66" s="201" t="n"/>
      <c r="E66" s="201" t="n"/>
      <c r="F66" s="201" t="n"/>
      <c r="G66" s="201" t="n"/>
      <c r="H66" s="201" t="n"/>
      <c r="I66" s="201" t="n"/>
      <c r="J66" s="201" t="n"/>
    </row>
    <row r="67" ht="12.5" customHeight="1" s="80">
      <c r="B67" s="201" t="n"/>
      <c r="C67" s="201" t="n"/>
      <c r="D67" s="201" t="n"/>
      <c r="E67" s="201" t="n"/>
      <c r="F67" s="201" t="n"/>
      <c r="G67" s="201" t="n"/>
      <c r="H67" s="201" t="n"/>
      <c r="I67" s="201" t="n"/>
      <c r="J67" s="201" t="n"/>
    </row>
    <row r="68" ht="12.5" customHeight="1" s="80">
      <c r="B68" s="201" t="n"/>
      <c r="C68" s="201" t="n"/>
      <c r="D68" s="201" t="n"/>
      <c r="E68" s="201" t="n"/>
      <c r="F68" s="201" t="n"/>
      <c r="G68" s="201" t="n"/>
      <c r="H68" s="201" t="n"/>
      <c r="I68" s="201" t="n"/>
      <c r="J68" s="201" t="n"/>
    </row>
    <row r="69" ht="12.5" customHeight="1" s="80">
      <c r="B69" s="201" t="n"/>
      <c r="C69" s="201" t="n"/>
      <c r="D69" s="201" t="n"/>
      <c r="E69" s="201" t="n"/>
      <c r="F69" s="201" t="n"/>
      <c r="G69" s="201" t="n"/>
      <c r="H69" s="201" t="n"/>
      <c r="I69" s="201" t="n"/>
      <c r="J69" s="201" t="n"/>
    </row>
    <row r="70" ht="12.5" customHeight="1" s="80">
      <c r="B70" s="201" t="n"/>
      <c r="C70" s="201" t="n"/>
      <c r="D70" s="201" t="n"/>
      <c r="E70" s="201" t="n"/>
      <c r="F70" s="201" t="n"/>
      <c r="G70" s="201" t="n"/>
      <c r="H70" s="201" t="n"/>
      <c r="I70" s="201" t="n"/>
      <c r="J70" s="201" t="n"/>
    </row>
    <row r="71" ht="12.5" customHeight="1" s="80">
      <c r="B71" s="201" t="n"/>
      <c r="C71" s="201" t="n"/>
      <c r="D71" s="201" t="n"/>
      <c r="E71" s="201" t="n"/>
      <c r="F71" s="201" t="n"/>
      <c r="G71" s="201" t="n"/>
      <c r="H71" s="201" t="n"/>
      <c r="I71" s="201" t="n"/>
      <c r="J71" s="201" t="n"/>
    </row>
    <row r="72" ht="12.5" customHeight="1" s="80">
      <c r="B72" s="201" t="n"/>
      <c r="C72" s="201" t="n"/>
      <c r="D72" s="201" t="n"/>
      <c r="E72" s="201" t="n"/>
      <c r="F72" s="201" t="n"/>
      <c r="G72" s="201" t="n"/>
      <c r="H72" s="201" t="n"/>
      <c r="I72" s="201" t="n"/>
      <c r="J72" s="201" t="n"/>
    </row>
    <row r="73" ht="12.5" customHeight="1" s="80">
      <c r="B73" s="201" t="n"/>
      <c r="C73" s="201" t="n"/>
      <c r="D73" s="201" t="n"/>
      <c r="E73" s="201" t="n"/>
      <c r="F73" s="201" t="n"/>
      <c r="G73" s="201" t="n"/>
      <c r="H73" s="201" t="n"/>
      <c r="I73" s="201" t="n"/>
      <c r="J73" s="201" t="n"/>
    </row>
    <row r="74" ht="12.5" customHeight="1" s="80">
      <c r="B74" s="201" t="n"/>
      <c r="C74" s="201" t="n"/>
      <c r="D74" s="201" t="n"/>
      <c r="E74" s="201" t="n"/>
      <c r="F74" s="201" t="n"/>
      <c r="G74" s="201" t="n"/>
      <c r="H74" s="201" t="n"/>
      <c r="I74" s="201" t="n"/>
      <c r="J74" s="201" t="n"/>
    </row>
    <row r="75" ht="12.5" customHeight="1" s="80">
      <c r="B75" s="201" t="n"/>
      <c r="C75" s="201" t="n"/>
      <c r="D75" s="201" t="n"/>
      <c r="E75" s="201" t="n"/>
      <c r="F75" s="201" t="n"/>
      <c r="G75" s="201" t="n"/>
      <c r="H75" s="201" t="n"/>
      <c r="I75" s="201" t="n"/>
      <c r="J75" s="201" t="n"/>
    </row>
    <row r="76" ht="12.5" customHeight="1" s="80">
      <c r="B76" s="201" t="n"/>
      <c r="C76" s="201" t="n"/>
      <c r="D76" s="201" t="n"/>
      <c r="E76" s="201" t="n"/>
      <c r="F76" s="201" t="n"/>
      <c r="G76" s="201" t="n"/>
      <c r="H76" s="201" t="n"/>
      <c r="I76" s="201" t="n"/>
      <c r="J76" s="201" t="n"/>
    </row>
    <row r="77" ht="12.5" customHeight="1" s="80">
      <c r="B77" s="201" t="n"/>
      <c r="C77" s="201" t="n"/>
      <c r="D77" s="201" t="n"/>
      <c r="E77" s="201" t="n"/>
      <c r="F77" s="201" t="n"/>
      <c r="G77" s="201" t="n"/>
      <c r="H77" s="201" t="n"/>
      <c r="I77" s="201" t="n"/>
      <c r="J77" s="201" t="n"/>
    </row>
    <row r="78" ht="12.5" customHeight="1" s="80">
      <c r="B78" s="201" t="n"/>
      <c r="C78" s="201" t="n"/>
      <c r="D78" s="201" t="n"/>
      <c r="E78" s="201" t="n"/>
      <c r="F78" s="201" t="n"/>
      <c r="G78" s="201" t="n"/>
      <c r="H78" s="201" t="n"/>
      <c r="I78" s="201" t="n"/>
      <c r="J78" s="201" t="n"/>
    </row>
    <row r="79" ht="12.5" customHeight="1" s="80">
      <c r="B79" s="201" t="n"/>
      <c r="C79" s="201" t="n"/>
      <c r="D79" s="201" t="n"/>
      <c r="E79" s="201" t="n"/>
      <c r="F79" s="201" t="n"/>
      <c r="G79" s="201" t="n"/>
      <c r="H79" s="201" t="n"/>
      <c r="I79" s="201" t="n"/>
      <c r="J79" s="201" t="n"/>
    </row>
    <row r="80" ht="12.5" customHeight="1" s="80">
      <c r="B80" s="201" t="n"/>
      <c r="C80" s="201" t="n"/>
      <c r="D80" s="201" t="n"/>
      <c r="E80" s="201" t="n"/>
      <c r="F80" s="201" t="n"/>
      <c r="G80" s="201" t="n"/>
      <c r="H80" s="201" t="n"/>
      <c r="I80" s="201" t="n"/>
      <c r="J80" s="201" t="n"/>
    </row>
    <row r="81" ht="12.5" customHeight="1" s="80">
      <c r="B81" s="201" t="n"/>
      <c r="C81" s="201" t="n"/>
      <c r="D81" s="201" t="n"/>
      <c r="E81" s="201" t="n"/>
      <c r="F81" s="201" t="n"/>
      <c r="G81" s="201" t="n"/>
      <c r="H81" s="201" t="n"/>
      <c r="I81" s="201" t="n"/>
      <c r="J81" s="201" t="n"/>
    </row>
    <row r="82" ht="12.5" customHeight="1" s="80">
      <c r="B82" s="201" t="n"/>
      <c r="C82" s="201" t="n"/>
      <c r="D82" s="201" t="n"/>
      <c r="E82" s="201" t="n"/>
      <c r="F82" s="201" t="n"/>
      <c r="G82" s="201" t="n"/>
      <c r="H82" s="201" t="n"/>
      <c r="I82" s="201" t="n"/>
      <c r="J82" s="201" t="n"/>
    </row>
    <row r="83" ht="12.5" customHeight="1" s="80">
      <c r="B83" s="201" t="n"/>
      <c r="C83" s="201" t="n"/>
      <c r="D83" s="201" t="n"/>
      <c r="E83" s="201" t="n"/>
      <c r="F83" s="201" t="n"/>
      <c r="G83" s="201" t="n"/>
      <c r="H83" s="201" t="n"/>
      <c r="I83" s="201" t="n"/>
      <c r="J83" s="201" t="n"/>
    </row>
    <row r="84" ht="12.5" customHeight="1" s="80">
      <c r="B84" s="201" t="n"/>
      <c r="C84" s="201" t="n"/>
      <c r="D84" s="201" t="n"/>
      <c r="E84" s="201" t="n"/>
      <c r="F84" s="201" t="n"/>
      <c r="G84" s="201" t="n"/>
      <c r="H84" s="201" t="n"/>
      <c r="I84" s="201" t="n"/>
      <c r="J84" s="201" t="n"/>
    </row>
    <row r="85" ht="12.5" customHeight="1" s="80">
      <c r="B85" s="201" t="n"/>
      <c r="C85" s="201" t="n"/>
      <c r="D85" s="201" t="n"/>
      <c r="E85" s="201" t="n"/>
      <c r="F85" s="201" t="n"/>
      <c r="G85" s="201" t="n"/>
      <c r="H85" s="201" t="n"/>
      <c r="I85" s="201" t="n"/>
      <c r="J85" s="201" t="n"/>
    </row>
    <row r="86" ht="12.5" customHeight="1" s="80">
      <c r="B86" s="201" t="n"/>
      <c r="C86" s="201" t="n"/>
      <c r="D86" s="201" t="n"/>
      <c r="E86" s="201" t="n"/>
      <c r="F86" s="201" t="n"/>
      <c r="G86" s="201" t="n"/>
      <c r="H86" s="201" t="n"/>
      <c r="I86" s="201" t="n"/>
      <c r="J86" s="201" t="n"/>
    </row>
    <row r="87" ht="12.5" customHeight="1" s="80">
      <c r="B87" s="201" t="n"/>
      <c r="C87" s="201" t="n"/>
      <c r="D87" s="201" t="n"/>
      <c r="E87" s="201" t="n"/>
      <c r="F87" s="201" t="n"/>
      <c r="G87" s="201" t="n"/>
      <c r="H87" s="201" t="n"/>
      <c r="I87" s="201" t="n"/>
      <c r="J87" s="201" t="n"/>
    </row>
    <row r="88" ht="12.5" customHeight="1" s="80">
      <c r="B88" s="201" t="n"/>
      <c r="C88" s="201" t="n"/>
      <c r="D88" s="201" t="n"/>
      <c r="E88" s="201" t="n"/>
      <c r="F88" s="201" t="n"/>
      <c r="G88" s="201" t="n"/>
      <c r="H88" s="201" t="n"/>
      <c r="I88" s="201" t="n"/>
      <c r="J88" s="201" t="n"/>
    </row>
    <row r="89" ht="12.5" customHeight="1" s="80">
      <c r="B89" s="201" t="n"/>
      <c r="C89" s="201" t="n"/>
      <c r="D89" s="201" t="n"/>
      <c r="E89" s="201" t="n"/>
      <c r="F89" s="201" t="n"/>
      <c r="G89" s="201" t="n"/>
      <c r="H89" s="201" t="n"/>
      <c r="I89" s="201" t="n"/>
      <c r="J89" s="201" t="n"/>
    </row>
    <row r="90" ht="12.5" customHeight="1" s="80">
      <c r="B90" s="201" t="n"/>
      <c r="C90" s="201" t="n"/>
      <c r="D90" s="201" t="n"/>
      <c r="E90" s="201" t="n"/>
      <c r="F90" s="201" t="n"/>
      <c r="G90" s="201" t="n"/>
      <c r="H90" s="201" t="n"/>
      <c r="I90" s="201" t="n"/>
      <c r="J90" s="201" t="n"/>
    </row>
    <row r="91" ht="12.5" customHeight="1" s="80">
      <c r="B91" s="201" t="n"/>
      <c r="C91" s="201" t="n"/>
      <c r="D91" s="201" t="n"/>
      <c r="E91" s="201" t="n"/>
      <c r="F91" s="201" t="n"/>
      <c r="G91" s="201" t="n"/>
      <c r="H91" s="201" t="n"/>
      <c r="I91" s="201" t="n"/>
      <c r="J91" s="201" t="n"/>
    </row>
    <row r="92" ht="12.5" customHeight="1" s="80">
      <c r="B92" s="201" t="n"/>
      <c r="C92" s="201" t="n"/>
      <c r="D92" s="201" t="n"/>
      <c r="E92" s="201" t="n"/>
      <c r="F92" s="201" t="n"/>
      <c r="G92" s="201" t="n"/>
      <c r="H92" s="201" t="n"/>
      <c r="I92" s="201" t="n"/>
      <c r="J92" s="201" t="n"/>
    </row>
    <row r="93" ht="12.5" customHeight="1" s="80">
      <c r="B93" s="201" t="n"/>
      <c r="C93" s="201" t="n"/>
      <c r="D93" s="201" t="n"/>
      <c r="E93" s="201" t="n"/>
      <c r="F93" s="201" t="n"/>
      <c r="G93" s="201" t="n"/>
      <c r="H93" s="201" t="n"/>
      <c r="I93" s="201" t="n"/>
      <c r="J93" s="201" t="n"/>
    </row>
    <row r="94" ht="12.5" customHeight="1" s="80">
      <c r="B94" s="201" t="n"/>
      <c r="C94" s="201" t="n"/>
      <c r="D94" s="201" t="n"/>
      <c r="E94" s="201" t="n"/>
      <c r="F94" s="201" t="n"/>
      <c r="G94" s="201" t="n"/>
      <c r="H94" s="201" t="n"/>
      <c r="I94" s="201" t="n"/>
      <c r="J94" s="201" t="n"/>
    </row>
    <row r="95" ht="12.5" customHeight="1" s="80">
      <c r="B95" s="201" t="n"/>
      <c r="C95" s="201" t="n"/>
      <c r="D95" s="201" t="n"/>
      <c r="E95" s="201" t="n"/>
      <c r="F95" s="201" t="n"/>
      <c r="G95" s="201" t="n"/>
      <c r="H95" s="201" t="n"/>
      <c r="I95" s="201" t="n"/>
      <c r="J95" s="201" t="n"/>
    </row>
    <row r="96" ht="12.5" customHeight="1" s="80">
      <c r="B96" s="201" t="n"/>
      <c r="C96" s="201" t="n"/>
      <c r="D96" s="201" t="n"/>
      <c r="E96" s="201" t="n"/>
      <c r="F96" s="201" t="n"/>
      <c r="G96" s="201" t="n"/>
      <c r="H96" s="201" t="n"/>
      <c r="I96" s="201" t="n"/>
      <c r="J96" s="201" t="n"/>
    </row>
    <row r="97" ht="12.5" customHeight="1" s="80">
      <c r="B97" s="201" t="n"/>
      <c r="C97" s="201" t="n"/>
      <c r="D97" s="201" t="n"/>
      <c r="E97" s="201" t="n"/>
      <c r="F97" s="201" t="n"/>
      <c r="G97" s="201" t="n"/>
      <c r="H97" s="201" t="n"/>
      <c r="I97" s="201" t="n"/>
      <c r="J97" s="201" t="n"/>
    </row>
    <row r="98" ht="12.5" customHeight="1" s="80">
      <c r="B98" s="201" t="n"/>
      <c r="C98" s="201" t="n"/>
      <c r="D98" s="201" t="n"/>
      <c r="E98" s="201" t="n"/>
      <c r="F98" s="201" t="n"/>
      <c r="G98" s="201" t="n"/>
      <c r="H98" s="201" t="n"/>
      <c r="I98" s="201" t="n"/>
      <c r="J98" s="201" t="n"/>
    </row>
    <row r="99" ht="12.5" customHeight="1" s="80">
      <c r="B99" s="201" t="n"/>
      <c r="C99" s="201" t="n"/>
      <c r="D99" s="201" t="n"/>
      <c r="E99" s="201" t="n"/>
      <c r="F99" s="201" t="n"/>
      <c r="G99" s="201" t="n"/>
      <c r="H99" s="201" t="n"/>
      <c r="I99" s="201" t="n"/>
      <c r="J99" s="201" t="n"/>
    </row>
    <row r="100" ht="12.5" customHeight="1" s="80">
      <c r="B100" s="201" t="n"/>
      <c r="C100" s="201" t="n"/>
      <c r="D100" s="201" t="n"/>
      <c r="E100" s="201" t="n"/>
      <c r="F100" s="201" t="n"/>
      <c r="G100" s="201" t="n"/>
      <c r="H100" s="201" t="n"/>
      <c r="I100" s="201" t="n"/>
      <c r="J100" s="201" t="n"/>
    </row>
    <row r="101">
      <c r="B101" s="201" t="n"/>
      <c r="C101" s="201" t="n"/>
      <c r="D101" s="201" t="n"/>
      <c r="E101" s="201" t="n"/>
      <c r="F101" s="201" t="n"/>
      <c r="G101" s="201" t="n"/>
      <c r="H101" s="201" t="n"/>
      <c r="I101" s="201" t="n"/>
      <c r="J101" s="201" t="n"/>
    </row>
    <row r="102">
      <c r="B102" s="201" t="n"/>
      <c r="C102" s="201" t="n"/>
      <c r="D102" s="201" t="n"/>
      <c r="E102" s="201" t="n"/>
      <c r="F102" s="201" t="n"/>
      <c r="G102" s="201" t="n"/>
      <c r="H102" s="201" t="n"/>
      <c r="I102" s="201" t="n"/>
      <c r="J102" s="201" t="n"/>
    </row>
    <row r="103">
      <c r="B103" s="201" t="n"/>
      <c r="C103" s="201" t="n"/>
      <c r="D103" s="201" t="n"/>
      <c r="E103" s="201" t="n"/>
      <c r="F103" s="201" t="n"/>
      <c r="G103" s="201" t="n"/>
      <c r="H103" s="201" t="n"/>
      <c r="I103" s="201" t="n"/>
      <c r="J103" s="201" t="n"/>
    </row>
    <row r="104">
      <c r="B104" s="201" t="n"/>
      <c r="C104" s="201" t="n"/>
      <c r="D104" s="201" t="n"/>
      <c r="E104" s="201" t="n"/>
      <c r="F104" s="201" t="n"/>
      <c r="G104" s="201" t="n"/>
      <c r="H104" s="201" t="n"/>
      <c r="I104" s="201" t="n"/>
      <c r="J104" s="201" t="n"/>
    </row>
    <row r="105">
      <c r="B105" s="201" t="n"/>
      <c r="C105" s="201" t="n"/>
      <c r="D105" s="201" t="n"/>
      <c r="E105" s="201" t="n"/>
      <c r="F105" s="201" t="n"/>
      <c r="G105" s="201" t="n"/>
      <c r="H105" s="201" t="n"/>
      <c r="I105" s="201" t="n"/>
      <c r="J105" s="201" t="n"/>
    </row>
    <row r="106">
      <c r="B106" s="201" t="n"/>
      <c r="C106" s="201" t="n"/>
      <c r="D106" s="201" t="n"/>
      <c r="E106" s="201" t="n"/>
      <c r="F106" s="201" t="n"/>
      <c r="G106" s="201" t="n"/>
      <c r="H106" s="201" t="n"/>
      <c r="I106" s="201" t="n"/>
      <c r="J106" s="201" t="n"/>
    </row>
    <row r="107">
      <c r="B107" s="201" t="n"/>
      <c r="C107" s="201" t="n"/>
      <c r="D107" s="201" t="n"/>
      <c r="E107" s="201" t="n"/>
      <c r="F107" s="201" t="n"/>
      <c r="G107" s="201" t="n"/>
      <c r="H107" s="201" t="n"/>
      <c r="I107" s="201" t="n"/>
      <c r="J107" s="201" t="n"/>
    </row>
    <row r="108">
      <c r="B108" s="201" t="n"/>
      <c r="C108" s="201" t="n"/>
      <c r="D108" s="201" t="n"/>
      <c r="E108" s="201" t="n"/>
      <c r="F108" s="201" t="n"/>
      <c r="G108" s="201" t="n"/>
      <c r="H108" s="201" t="n"/>
      <c r="I108" s="201" t="n"/>
      <c r="J108" s="201" t="n"/>
    </row>
    <row r="109">
      <c r="B109" s="201" t="n"/>
      <c r="C109" s="201" t="n"/>
      <c r="D109" s="201" t="n"/>
      <c r="E109" s="201" t="n"/>
      <c r="F109" s="201" t="n"/>
      <c r="G109" s="201" t="n"/>
      <c r="H109" s="201" t="n"/>
      <c r="I109" s="201" t="n"/>
      <c r="J109" s="201" t="n"/>
    </row>
    <row r="110">
      <c r="B110" s="201" t="n"/>
      <c r="C110" s="201" t="n"/>
      <c r="D110" s="201" t="n"/>
      <c r="E110" s="201" t="n"/>
      <c r="F110" s="201" t="n"/>
      <c r="G110" s="201" t="n"/>
      <c r="H110" s="201" t="n"/>
      <c r="I110" s="201" t="n"/>
      <c r="J110" s="201" t="n"/>
    </row>
    <row r="111">
      <c r="B111" s="201" t="n"/>
      <c r="C111" s="201" t="n"/>
      <c r="D111" s="201" t="n"/>
      <c r="E111" s="201" t="n"/>
      <c r="F111" s="201" t="n"/>
      <c r="G111" s="201" t="n"/>
      <c r="H111" s="201" t="n"/>
      <c r="I111" s="201" t="n"/>
      <c r="J111" s="201" t="n"/>
    </row>
    <row r="112">
      <c r="B112" s="201" t="n"/>
      <c r="C112" s="201" t="n"/>
      <c r="D112" s="201" t="n"/>
      <c r="E112" s="201" t="n"/>
      <c r="F112" s="201" t="n"/>
      <c r="G112" s="201" t="n"/>
      <c r="H112" s="201" t="n"/>
      <c r="I112" s="201" t="n"/>
      <c r="J112" s="201" t="n"/>
    </row>
    <row r="113">
      <c r="B113" s="201" t="n"/>
      <c r="C113" s="201" t="n"/>
      <c r="D113" s="201" t="n"/>
      <c r="E113" s="201" t="n"/>
      <c r="F113" s="201" t="n"/>
      <c r="G113" s="201" t="n"/>
      <c r="H113" s="201" t="n"/>
      <c r="I113" s="201" t="n"/>
      <c r="J113" s="201" t="n"/>
    </row>
    <row r="114">
      <c r="B114" s="201" t="n"/>
      <c r="C114" s="201" t="n"/>
      <c r="D114" s="201" t="n"/>
      <c r="E114" s="201" t="n"/>
      <c r="F114" s="201" t="n"/>
      <c r="G114" s="201" t="n"/>
      <c r="H114" s="201" t="n"/>
      <c r="I114" s="201" t="n"/>
      <c r="J114" s="201" t="n"/>
    </row>
    <row r="115">
      <c r="B115" s="201" t="n"/>
      <c r="C115" s="201" t="n"/>
      <c r="D115" s="201" t="n"/>
      <c r="E115" s="201" t="n"/>
      <c r="F115" s="201" t="n"/>
      <c r="G115" s="201" t="n"/>
      <c r="H115" s="201" t="n"/>
      <c r="I115" s="201" t="n"/>
      <c r="J115" s="201" t="n"/>
    </row>
    <row r="116">
      <c r="B116" s="201" t="n"/>
      <c r="C116" s="201" t="n"/>
      <c r="D116" s="201" t="n"/>
      <c r="E116" s="201" t="n"/>
      <c r="F116" s="201" t="n"/>
      <c r="G116" s="201" t="n"/>
      <c r="H116" s="201" t="n"/>
      <c r="I116" s="201" t="n"/>
      <c r="J116" s="201" t="n"/>
    </row>
    <row r="117">
      <c r="B117" s="201" t="n"/>
      <c r="C117" s="201" t="n"/>
      <c r="D117" s="201" t="n"/>
      <c r="E117" s="201" t="n"/>
      <c r="F117" s="201" t="n"/>
      <c r="G117" s="201" t="n"/>
      <c r="H117" s="201" t="n"/>
      <c r="I117" s="201" t="n"/>
      <c r="J117" s="201" t="n"/>
    </row>
    <row r="118">
      <c r="B118" s="201" t="n"/>
      <c r="C118" s="201" t="n"/>
      <c r="D118" s="201" t="n"/>
      <c r="E118" s="201" t="n"/>
      <c r="F118" s="201" t="n"/>
      <c r="G118" s="201" t="n"/>
      <c r="H118" s="201" t="n"/>
      <c r="I118" s="201" t="n"/>
      <c r="J118" s="201" t="n"/>
    </row>
    <row r="119">
      <c r="B119" s="201" t="n"/>
      <c r="C119" s="201" t="n"/>
      <c r="D119" s="201" t="n"/>
      <c r="E119" s="201" t="n"/>
      <c r="F119" s="201" t="n"/>
      <c r="G119" s="201" t="n"/>
      <c r="H119" s="201" t="n"/>
      <c r="I119" s="201" t="n"/>
      <c r="J119" s="201" t="n"/>
    </row>
    <row r="120">
      <c r="B120" s="201" t="n"/>
      <c r="C120" s="201" t="n"/>
      <c r="D120" s="201" t="n"/>
      <c r="E120" s="201" t="n"/>
      <c r="F120" s="201" t="n"/>
      <c r="G120" s="201" t="n"/>
      <c r="H120" s="201" t="n"/>
      <c r="I120" s="201" t="n"/>
      <c r="J120" s="201" t="n"/>
    </row>
    <row r="121">
      <c r="B121" s="201" t="n"/>
      <c r="C121" s="201" t="n"/>
      <c r="D121" s="201" t="n"/>
      <c r="E121" s="201" t="n"/>
      <c r="F121" s="201" t="n"/>
      <c r="G121" s="201" t="n"/>
      <c r="H121" s="201" t="n"/>
      <c r="I121" s="201" t="n"/>
      <c r="J121" s="201" t="n"/>
    </row>
    <row r="122">
      <c r="B122" s="201" t="n"/>
      <c r="C122" s="201" t="n"/>
      <c r="D122" s="201" t="n"/>
      <c r="E122" s="201" t="n"/>
      <c r="F122" s="201" t="n"/>
      <c r="G122" s="201" t="n"/>
      <c r="H122" s="201" t="n"/>
      <c r="I122" s="201" t="n"/>
      <c r="J122" s="201" t="n"/>
    </row>
    <row r="123">
      <c r="B123" s="201" t="n"/>
      <c r="C123" s="201" t="n"/>
      <c r="D123" s="201" t="n"/>
      <c r="E123" s="201" t="n"/>
      <c r="F123" s="201" t="n"/>
      <c r="G123" s="201" t="n"/>
      <c r="H123" s="201" t="n"/>
      <c r="I123" s="201" t="n"/>
      <c r="J123" s="201" t="n"/>
    </row>
    <row r="124">
      <c r="B124" s="201" t="n"/>
      <c r="C124" s="201" t="n"/>
      <c r="D124" s="201" t="n"/>
      <c r="E124" s="201" t="n"/>
      <c r="F124" s="201" t="n"/>
      <c r="G124" s="201" t="n"/>
      <c r="H124" s="201" t="n"/>
      <c r="I124" s="201" t="n"/>
      <c r="J124" s="201" t="n"/>
    </row>
    <row r="125">
      <c r="B125" s="201" t="n"/>
      <c r="C125" s="201" t="n"/>
      <c r="D125" s="201" t="n"/>
      <c r="E125" s="201" t="n"/>
      <c r="F125" s="201" t="n"/>
      <c r="G125" s="201" t="n"/>
      <c r="H125" s="201" t="n"/>
      <c r="I125" s="201" t="n"/>
      <c r="J125" s="201" t="n"/>
    </row>
    <row r="126">
      <c r="B126" s="201" t="n"/>
      <c r="C126" s="201" t="n"/>
      <c r="D126" s="201" t="n"/>
      <c r="E126" s="201" t="n"/>
      <c r="F126" s="201" t="n"/>
      <c r="G126" s="201" t="n"/>
      <c r="H126" s="201" t="n"/>
      <c r="I126" s="201" t="n"/>
      <c r="J126" s="201" t="n"/>
    </row>
    <row r="127">
      <c r="B127" s="201" t="n"/>
      <c r="C127" s="201" t="n"/>
      <c r="D127" s="201" t="n"/>
      <c r="E127" s="201" t="n"/>
      <c r="F127" s="201" t="n"/>
      <c r="G127" s="201" t="n"/>
      <c r="H127" s="201" t="n"/>
      <c r="I127" s="201" t="n"/>
      <c r="J127" s="201" t="n"/>
    </row>
    <row r="128">
      <c r="B128" s="201" t="n"/>
      <c r="C128" s="201" t="n"/>
      <c r="D128" s="201" t="n"/>
      <c r="E128" s="201" t="n"/>
      <c r="F128" s="201" t="n"/>
      <c r="G128" s="201" t="n"/>
      <c r="H128" s="201" t="n"/>
      <c r="I128" s="201" t="n"/>
      <c r="J128" s="201" t="n"/>
    </row>
    <row r="129">
      <c r="B129" s="201" t="n"/>
      <c r="C129" s="201" t="n"/>
      <c r="D129" s="201" t="n"/>
      <c r="E129" s="201" t="n"/>
      <c r="F129" s="201" t="n"/>
      <c r="G129" s="201" t="n"/>
      <c r="H129" s="201" t="n"/>
      <c r="I129" s="201" t="n"/>
      <c r="J129" s="201" t="n"/>
    </row>
    <row r="130">
      <c r="B130" s="201" t="n"/>
      <c r="C130" s="201" t="n"/>
      <c r="D130" s="201" t="n"/>
      <c r="E130" s="201" t="n"/>
      <c r="F130" s="201" t="n"/>
      <c r="G130" s="201" t="n"/>
      <c r="H130" s="201" t="n"/>
      <c r="I130" s="201" t="n"/>
      <c r="J130" s="201" t="n"/>
    </row>
    <row r="131">
      <c r="B131" s="201" t="n"/>
      <c r="C131" s="201" t="n"/>
      <c r="D131" s="201" t="n"/>
      <c r="E131" s="201" t="n"/>
      <c r="F131" s="201" t="n"/>
      <c r="G131" s="201" t="n"/>
      <c r="H131" s="201" t="n"/>
      <c r="I131" s="201" t="n"/>
      <c r="J131" s="201" t="n"/>
    </row>
    <row r="132">
      <c r="B132" s="201" t="n"/>
      <c r="C132" s="201" t="n"/>
      <c r="D132" s="201" t="n"/>
      <c r="E132" s="201" t="n"/>
      <c r="F132" s="201" t="n"/>
      <c r="G132" s="201" t="n"/>
      <c r="H132" s="201" t="n"/>
      <c r="I132" s="201" t="n"/>
      <c r="J132" s="201" t="n"/>
    </row>
    <row r="133">
      <c r="B133" s="201" t="n"/>
      <c r="C133" s="201" t="n"/>
      <c r="D133" s="201" t="n"/>
      <c r="E133" s="201" t="n"/>
      <c r="F133" s="201" t="n"/>
      <c r="G133" s="201" t="n"/>
      <c r="H133" s="201" t="n"/>
      <c r="I133" s="201" t="n"/>
      <c r="J133" s="201" t="n"/>
    </row>
    <row r="134">
      <c r="B134" s="201" t="n"/>
      <c r="C134" s="201" t="n"/>
      <c r="D134" s="201" t="n"/>
      <c r="E134" s="201" t="n"/>
      <c r="F134" s="201" t="n"/>
      <c r="G134" s="201" t="n"/>
      <c r="H134" s="201" t="n"/>
      <c r="I134" s="201" t="n"/>
      <c r="J134" s="201" t="n"/>
    </row>
    <row r="135">
      <c r="B135" s="201" t="n"/>
      <c r="C135" s="201" t="n"/>
      <c r="D135" s="201" t="n"/>
      <c r="E135" s="201" t="n"/>
      <c r="F135" s="201" t="n"/>
      <c r="G135" s="201" t="n"/>
      <c r="H135" s="201" t="n"/>
      <c r="I135" s="201" t="n"/>
      <c r="J135" s="201" t="n"/>
    </row>
    <row r="136">
      <c r="B136" s="201" t="n"/>
      <c r="C136" s="201" t="n"/>
      <c r="D136" s="201" t="n"/>
      <c r="E136" s="201" t="n"/>
      <c r="F136" s="201" t="n"/>
      <c r="G136" s="201" t="n"/>
      <c r="H136" s="201" t="n"/>
      <c r="I136" s="201" t="n"/>
      <c r="J136" s="201" t="n"/>
    </row>
    <row r="137">
      <c r="B137" s="201" t="n"/>
      <c r="C137" s="201" t="n"/>
      <c r="D137" s="201" t="n"/>
      <c r="E137" s="201" t="n"/>
      <c r="F137" s="201" t="n"/>
      <c r="G137" s="201" t="n"/>
      <c r="H137" s="201" t="n"/>
      <c r="I137" s="201" t="n"/>
      <c r="J137" s="201" t="n"/>
    </row>
    <row r="138">
      <c r="B138" s="201" t="n"/>
      <c r="C138" s="201" t="n"/>
      <c r="D138" s="201" t="n"/>
      <c r="E138" s="201" t="n"/>
      <c r="F138" s="201" t="n"/>
      <c r="G138" s="201" t="n"/>
      <c r="H138" s="201" t="n"/>
      <c r="I138" s="201" t="n"/>
      <c r="J138" s="201" t="n"/>
    </row>
    <row r="139">
      <c r="B139" s="201" t="n"/>
      <c r="C139" s="201" t="n"/>
      <c r="D139" s="201" t="n"/>
      <c r="E139" s="201" t="n"/>
      <c r="F139" s="201" t="n"/>
      <c r="G139" s="201" t="n"/>
      <c r="H139" s="201" t="n"/>
      <c r="I139" s="201" t="n"/>
      <c r="J139" s="201" t="n"/>
    </row>
    <row r="140">
      <c r="B140" s="201" t="n"/>
      <c r="C140" s="201" t="n"/>
      <c r="D140" s="201" t="n"/>
      <c r="E140" s="201" t="n"/>
      <c r="F140" s="201" t="n"/>
      <c r="G140" s="201" t="n"/>
      <c r="H140" s="201" t="n"/>
      <c r="I140" s="201" t="n"/>
      <c r="J140" s="201" t="n"/>
    </row>
    <row r="141">
      <c r="B141" s="201" t="n"/>
      <c r="C141" s="201" t="n"/>
      <c r="D141" s="201" t="n"/>
      <c r="E141" s="201" t="n"/>
      <c r="F141" s="201" t="n"/>
      <c r="G141" s="201" t="n"/>
      <c r="H141" s="201" t="n"/>
      <c r="I141" s="201" t="n"/>
      <c r="J141" s="201" t="n"/>
    </row>
    <row r="142">
      <c r="B142" s="201" t="n"/>
      <c r="C142" s="201" t="n"/>
      <c r="D142" s="201" t="n"/>
      <c r="E142" s="201" t="n"/>
      <c r="F142" s="201" t="n"/>
      <c r="G142" s="201" t="n"/>
      <c r="H142" s="201" t="n"/>
      <c r="I142" s="201" t="n"/>
      <c r="J142" s="201" t="n"/>
    </row>
    <row r="143">
      <c r="B143" s="201" t="n"/>
      <c r="C143" s="201" t="n"/>
      <c r="D143" s="201" t="n"/>
      <c r="E143" s="201" t="n"/>
      <c r="F143" s="201" t="n"/>
      <c r="G143" s="201" t="n"/>
      <c r="H143" s="201" t="n"/>
      <c r="I143" s="201" t="n"/>
      <c r="J143" s="201" t="n"/>
    </row>
    <row r="144">
      <c r="B144" s="201" t="n"/>
      <c r="C144" s="201" t="n"/>
      <c r="D144" s="201" t="n"/>
      <c r="E144" s="201" t="n"/>
      <c r="F144" s="201" t="n"/>
      <c r="G144" s="201" t="n"/>
      <c r="H144" s="201" t="n"/>
      <c r="I144" s="201" t="n"/>
      <c r="J144" s="201" t="n"/>
    </row>
    <row r="145">
      <c r="B145" s="201" t="n"/>
      <c r="C145" s="201" t="n"/>
      <c r="D145" s="201" t="n"/>
      <c r="E145" s="201" t="n"/>
      <c r="F145" s="201" t="n"/>
      <c r="G145" s="201" t="n"/>
      <c r="H145" s="201" t="n"/>
      <c r="I145" s="201" t="n"/>
      <c r="J145" s="201" t="n"/>
    </row>
    <row r="146">
      <c r="B146" s="201" t="n"/>
      <c r="C146" s="201" t="n"/>
      <c r="D146" s="201" t="n"/>
      <c r="E146" s="201" t="n"/>
      <c r="F146" s="201" t="n"/>
      <c r="G146" s="201" t="n"/>
      <c r="H146" s="201" t="n"/>
      <c r="I146" s="201" t="n"/>
      <c r="J146" s="201" t="n"/>
    </row>
    <row r="147">
      <c r="B147" s="201" t="n"/>
      <c r="C147" s="201" t="n"/>
      <c r="D147" s="201" t="n"/>
      <c r="E147" s="201" t="n"/>
      <c r="F147" s="201" t="n"/>
      <c r="G147" s="201" t="n"/>
      <c r="H147" s="201" t="n"/>
      <c r="I147" s="201" t="n"/>
      <c r="J147" s="201" t="n"/>
    </row>
    <row r="148">
      <c r="B148" s="201" t="n"/>
      <c r="C148" s="201" t="n"/>
      <c r="D148" s="201" t="n"/>
      <c r="E148" s="201" t="n"/>
      <c r="F148" s="201" t="n"/>
      <c r="G148" s="201" t="n"/>
      <c r="H148" s="201" t="n"/>
      <c r="I148" s="201" t="n"/>
      <c r="J148" s="201" t="n"/>
    </row>
    <row r="149">
      <c r="B149" s="201" t="n"/>
      <c r="C149" s="201" t="n"/>
      <c r="D149" s="201" t="n"/>
      <c r="E149" s="201" t="n"/>
      <c r="F149" s="201" t="n"/>
      <c r="G149" s="201" t="n"/>
      <c r="H149" s="201" t="n"/>
      <c r="I149" s="201" t="n"/>
      <c r="J149" s="201" t="n"/>
    </row>
    <row r="150">
      <c r="B150" s="201" t="n"/>
      <c r="C150" s="201" t="n"/>
      <c r="D150" s="201" t="n"/>
      <c r="E150" s="201" t="n"/>
      <c r="F150" s="201" t="n"/>
      <c r="G150" s="201" t="n"/>
      <c r="H150" s="201" t="n"/>
      <c r="I150" s="201" t="n"/>
      <c r="J150" s="201" t="n"/>
    </row>
    <row r="151">
      <c r="B151" s="201" t="n"/>
      <c r="C151" s="201" t="n"/>
      <c r="D151" s="201" t="n"/>
      <c r="E151" s="201" t="n"/>
      <c r="F151" s="201" t="n"/>
      <c r="G151" s="201" t="n"/>
      <c r="H151" s="201" t="n"/>
      <c r="I151" s="201" t="n"/>
      <c r="J151" s="201" t="n"/>
    </row>
    <row r="152">
      <c r="B152" s="201" t="n"/>
      <c r="C152" s="201" t="n"/>
      <c r="D152" s="201" t="n"/>
      <c r="E152" s="201" t="n"/>
      <c r="F152" s="201" t="n"/>
      <c r="G152" s="201" t="n"/>
      <c r="H152" s="201" t="n"/>
      <c r="I152" s="201" t="n"/>
      <c r="J152" s="201" t="n"/>
    </row>
    <row r="153">
      <c r="B153" s="201" t="n"/>
      <c r="C153" s="201" t="n"/>
      <c r="D153" s="201" t="n"/>
      <c r="E153" s="201" t="n"/>
      <c r="F153" s="201" t="n"/>
      <c r="G153" s="201" t="n"/>
      <c r="H153" s="201" t="n"/>
      <c r="I153" s="201" t="n"/>
      <c r="J153" s="201" t="n"/>
    </row>
    <row r="154">
      <c r="B154" s="201" t="n"/>
      <c r="C154" s="201" t="n"/>
      <c r="D154" s="201" t="n"/>
      <c r="E154" s="201" t="n"/>
      <c r="F154" s="201" t="n"/>
      <c r="G154" s="201" t="n"/>
      <c r="H154" s="201" t="n"/>
      <c r="I154" s="201" t="n"/>
      <c r="J154" s="201" t="n"/>
    </row>
    <row r="155">
      <c r="B155" s="201" t="n"/>
      <c r="C155" s="201" t="n"/>
      <c r="D155" s="201" t="n"/>
      <c r="E155" s="201" t="n"/>
      <c r="F155" s="201" t="n"/>
      <c r="G155" s="201" t="n"/>
      <c r="H155" s="201" t="n"/>
      <c r="I155" s="201" t="n"/>
      <c r="J155" s="201" t="n"/>
    </row>
    <row r="156">
      <c r="B156" s="201" t="n"/>
      <c r="C156" s="201" t="n"/>
      <c r="D156" s="201" t="n"/>
      <c r="E156" s="201" t="n"/>
      <c r="F156" s="201" t="n"/>
      <c r="G156" s="201" t="n"/>
      <c r="H156" s="201" t="n"/>
      <c r="I156" s="201" t="n"/>
      <c r="J156" s="201" t="n"/>
    </row>
    <row r="157">
      <c r="B157" s="201" t="n"/>
      <c r="C157" s="201" t="n"/>
      <c r="D157" s="201" t="n"/>
      <c r="E157" s="201" t="n"/>
      <c r="F157" s="201" t="n"/>
      <c r="G157" s="201" t="n"/>
      <c r="H157" s="201" t="n"/>
      <c r="I157" s="201" t="n"/>
      <c r="J157" s="201" t="n"/>
    </row>
    <row r="158">
      <c r="B158" s="201" t="n"/>
      <c r="C158" s="201" t="n"/>
      <c r="D158" s="201" t="n"/>
      <c r="E158" s="201" t="n"/>
      <c r="F158" s="201" t="n"/>
      <c r="G158" s="201" t="n"/>
      <c r="H158" s="201" t="n"/>
      <c r="I158" s="201" t="n"/>
      <c r="J158" s="201" t="n"/>
    </row>
    <row r="159">
      <c r="B159" s="201" t="n"/>
      <c r="C159" s="201" t="n"/>
      <c r="D159" s="201" t="n"/>
      <c r="E159" s="201" t="n"/>
      <c r="F159" s="201" t="n"/>
      <c r="G159" s="201" t="n"/>
      <c r="H159" s="201" t="n"/>
      <c r="I159" s="201" t="n"/>
      <c r="J159" s="201" t="n"/>
    </row>
    <row r="160">
      <c r="B160" s="201" t="n"/>
      <c r="C160" s="201" t="n"/>
      <c r="D160" s="201" t="n"/>
      <c r="E160" s="201" t="n"/>
      <c r="F160" s="201" t="n"/>
      <c r="G160" s="201" t="n"/>
      <c r="H160" s="201" t="n"/>
      <c r="I160" s="201" t="n"/>
      <c r="J160" s="201" t="n"/>
    </row>
    <row r="161">
      <c r="B161" s="201" t="n"/>
      <c r="C161" s="201" t="n"/>
      <c r="D161" s="201" t="n"/>
      <c r="E161" s="201" t="n"/>
      <c r="F161" s="201" t="n"/>
      <c r="G161" s="201" t="n"/>
      <c r="H161" s="201" t="n"/>
      <c r="I161" s="201" t="n"/>
      <c r="J161" s="201" t="n"/>
    </row>
    <row r="162">
      <c r="B162" s="201" t="n"/>
      <c r="C162" s="201" t="n"/>
      <c r="D162" s="201" t="n"/>
      <c r="E162" s="201" t="n"/>
      <c r="F162" s="201" t="n"/>
      <c r="G162" s="201" t="n"/>
      <c r="H162" s="201" t="n"/>
      <c r="I162" s="201" t="n"/>
      <c r="J162" s="201" t="n"/>
    </row>
    <row r="163">
      <c r="B163" s="201" t="n"/>
      <c r="C163" s="201" t="n"/>
      <c r="D163" s="201" t="n"/>
      <c r="E163" s="201" t="n"/>
      <c r="F163" s="201" t="n"/>
      <c r="G163" s="201" t="n"/>
      <c r="H163" s="201" t="n"/>
      <c r="I163" s="201" t="n"/>
      <c r="J163" s="201" t="n"/>
    </row>
    <row r="164">
      <c r="B164" s="201" t="n"/>
      <c r="C164" s="201" t="n"/>
      <c r="D164" s="201" t="n"/>
      <c r="E164" s="201" t="n"/>
      <c r="F164" s="201" t="n"/>
      <c r="G164" s="201" t="n"/>
      <c r="H164" s="201" t="n"/>
      <c r="I164" s="201" t="n"/>
      <c r="J164" s="201" t="n"/>
    </row>
    <row r="165">
      <c r="B165" s="201" t="n"/>
      <c r="C165" s="201" t="n"/>
      <c r="D165" s="201" t="n"/>
      <c r="E165" s="201" t="n"/>
      <c r="F165" s="201" t="n"/>
      <c r="G165" s="201" t="n"/>
      <c r="H165" s="201" t="n"/>
      <c r="I165" s="201" t="n"/>
      <c r="J165" s="201" t="n"/>
    </row>
    <row r="166">
      <c r="B166" s="201" t="n"/>
      <c r="C166" s="201" t="n"/>
      <c r="D166" s="201" t="n"/>
      <c r="E166" s="201" t="n"/>
      <c r="F166" s="201" t="n"/>
      <c r="G166" s="201" t="n"/>
      <c r="H166" s="201" t="n"/>
      <c r="I166" s="201" t="n"/>
      <c r="J166" s="201" t="n"/>
    </row>
    <row r="167">
      <c r="B167" s="201" t="n"/>
      <c r="C167" s="201" t="n"/>
      <c r="D167" s="201" t="n"/>
      <c r="E167" s="201" t="n"/>
      <c r="F167" s="201" t="n"/>
      <c r="G167" s="201" t="n"/>
      <c r="H167" s="201" t="n"/>
      <c r="I167" s="201" t="n"/>
      <c r="J167" s="201" t="n"/>
    </row>
    <row r="168">
      <c r="B168" s="201" t="n"/>
      <c r="C168" s="201" t="n"/>
      <c r="D168" s="201" t="n"/>
      <c r="E168" s="201" t="n"/>
      <c r="F168" s="201" t="n"/>
      <c r="G168" s="201" t="n"/>
      <c r="H168" s="201" t="n"/>
      <c r="I168" s="201" t="n"/>
      <c r="J168" s="201" t="n"/>
    </row>
    <row r="169">
      <c r="B169" s="201" t="n"/>
      <c r="C169" s="201" t="n"/>
      <c r="D169" s="201" t="n"/>
      <c r="E169" s="201" t="n"/>
      <c r="F169" s="201" t="n"/>
      <c r="G169" s="201" t="n"/>
      <c r="H169" s="201" t="n"/>
      <c r="I169" s="201" t="n"/>
      <c r="J169" s="201" t="n"/>
    </row>
    <row r="170">
      <c r="B170" s="201" t="n"/>
      <c r="C170" s="201" t="n"/>
      <c r="D170" s="201" t="n"/>
      <c r="E170" s="201" t="n"/>
      <c r="F170" s="201" t="n"/>
      <c r="G170" s="201" t="n"/>
      <c r="H170" s="201" t="n"/>
      <c r="I170" s="201" t="n"/>
      <c r="J170" s="201" t="n"/>
    </row>
    <row r="171">
      <c r="B171" s="201" t="n"/>
      <c r="C171" s="201" t="n"/>
      <c r="D171" s="201" t="n"/>
      <c r="E171" s="201" t="n"/>
      <c r="F171" s="201" t="n"/>
      <c r="G171" s="201" t="n"/>
      <c r="H171" s="201" t="n"/>
      <c r="I171" s="201" t="n"/>
      <c r="J171" s="201" t="n"/>
    </row>
    <row r="172">
      <c r="B172" s="201" t="n"/>
      <c r="C172" s="201" t="n"/>
      <c r="D172" s="201" t="n"/>
      <c r="E172" s="201" t="n"/>
      <c r="F172" s="201" t="n"/>
      <c r="G172" s="201" t="n"/>
      <c r="H172" s="201" t="n"/>
      <c r="I172" s="201" t="n"/>
      <c r="J172" s="201" t="n"/>
    </row>
    <row r="173">
      <c r="B173" s="201" t="n"/>
      <c r="C173" s="201" t="n"/>
      <c r="D173" s="201" t="n"/>
      <c r="E173" s="201" t="n"/>
      <c r="F173" s="201" t="n"/>
      <c r="G173" s="201" t="n"/>
      <c r="H173" s="201" t="n"/>
      <c r="I173" s="201" t="n"/>
      <c r="J173" s="201" t="n"/>
    </row>
    <row r="174">
      <c r="B174" s="201" t="n"/>
      <c r="C174" s="201" t="n"/>
      <c r="D174" s="201" t="n"/>
      <c r="E174" s="201" t="n"/>
      <c r="F174" s="201" t="n"/>
      <c r="G174" s="201" t="n"/>
      <c r="H174" s="201" t="n"/>
      <c r="I174" s="201" t="n"/>
      <c r="J174" s="201" t="n"/>
    </row>
    <row r="175">
      <c r="B175" s="201" t="n"/>
      <c r="C175" s="201" t="n"/>
      <c r="D175" s="201" t="n"/>
      <c r="E175" s="201" t="n"/>
      <c r="F175" s="201" t="n"/>
      <c r="G175" s="201" t="n"/>
      <c r="H175" s="201" t="n"/>
      <c r="I175" s="201" t="n"/>
      <c r="J175" s="201" t="n"/>
    </row>
    <row r="176">
      <c r="B176" s="201" t="n"/>
      <c r="C176" s="201" t="n"/>
      <c r="D176" s="201" t="n"/>
      <c r="E176" s="201" t="n"/>
      <c r="F176" s="201" t="n"/>
      <c r="G176" s="201" t="n"/>
      <c r="H176" s="201" t="n"/>
      <c r="I176" s="201" t="n"/>
      <c r="J176" s="201" t="n"/>
    </row>
    <row r="177">
      <c r="B177" s="201" t="n"/>
      <c r="C177" s="201" t="n"/>
      <c r="D177" s="201" t="n"/>
      <c r="E177" s="201" t="n"/>
      <c r="F177" s="201" t="n"/>
      <c r="G177" s="201" t="n"/>
      <c r="H177" s="201" t="n"/>
      <c r="I177" s="201" t="n"/>
      <c r="J177" s="201" t="n"/>
    </row>
    <row r="178">
      <c r="B178" s="201" t="n"/>
      <c r="C178" s="201" t="n"/>
      <c r="D178" s="201" t="n"/>
      <c r="E178" s="201" t="n"/>
      <c r="F178" s="201" t="n"/>
      <c r="G178" s="201" t="n"/>
      <c r="H178" s="201" t="n"/>
      <c r="I178" s="201" t="n"/>
      <c r="J178" s="201" t="n"/>
    </row>
    <row r="179">
      <c r="B179" s="201" t="n"/>
      <c r="C179" s="201" t="n"/>
      <c r="D179" s="201" t="n"/>
      <c r="E179" s="201" t="n"/>
      <c r="F179" s="201" t="n"/>
      <c r="G179" s="201" t="n"/>
      <c r="H179" s="201" t="n"/>
      <c r="I179" s="201" t="n"/>
      <c r="J179" s="201" t="n"/>
    </row>
    <row r="180">
      <c r="B180" s="201" t="n"/>
      <c r="C180" s="201" t="n"/>
      <c r="D180" s="201" t="n"/>
      <c r="E180" s="201" t="n"/>
      <c r="F180" s="201" t="n"/>
      <c r="G180" s="201" t="n"/>
      <c r="H180" s="201" t="n"/>
      <c r="I180" s="201" t="n"/>
      <c r="J180" s="201" t="n"/>
    </row>
    <row r="181">
      <c r="B181" s="201" t="n"/>
      <c r="C181" s="201" t="n"/>
      <c r="D181" s="201" t="n"/>
      <c r="E181" s="201" t="n"/>
      <c r="F181" s="201" t="n"/>
      <c r="G181" s="201" t="n"/>
      <c r="H181" s="201" t="n"/>
      <c r="I181" s="201" t="n"/>
      <c r="J181" s="201" t="n"/>
    </row>
    <row r="182">
      <c r="B182" s="201" t="n"/>
      <c r="C182" s="201" t="n"/>
      <c r="D182" s="201" t="n"/>
      <c r="E182" s="201" t="n"/>
      <c r="F182" s="201" t="n"/>
      <c r="G182" s="201" t="n"/>
      <c r="H182" s="201" t="n"/>
      <c r="I182" s="201" t="n"/>
      <c r="J182" s="201" t="n"/>
    </row>
    <row r="183">
      <c r="B183" s="201" t="n"/>
      <c r="C183" s="201" t="n"/>
      <c r="D183" s="201" t="n"/>
      <c r="E183" s="201" t="n"/>
      <c r="F183" s="201" t="n"/>
      <c r="G183" s="201" t="n"/>
      <c r="H183" s="201" t="n"/>
      <c r="I183" s="201" t="n"/>
      <c r="J183" s="201" t="n"/>
    </row>
    <row r="184">
      <c r="B184" s="201" t="n"/>
      <c r="C184" s="201" t="n"/>
      <c r="D184" s="201" t="n"/>
      <c r="E184" s="201" t="n"/>
      <c r="F184" s="201" t="n"/>
      <c r="G184" s="201" t="n"/>
      <c r="H184" s="201" t="n"/>
      <c r="I184" s="201" t="n"/>
      <c r="J184" s="201" t="n"/>
    </row>
    <row r="185">
      <c r="B185" s="201" t="n"/>
      <c r="C185" s="201" t="n"/>
      <c r="D185" s="201" t="n"/>
      <c r="E185" s="201" t="n"/>
      <c r="F185" s="201" t="n"/>
      <c r="G185" s="201" t="n"/>
      <c r="H185" s="201" t="n"/>
      <c r="I185" s="201" t="n"/>
      <c r="J185" s="201" t="n"/>
    </row>
    <row r="186">
      <c r="B186" s="201" t="n"/>
      <c r="C186" s="201" t="n"/>
      <c r="D186" s="201" t="n"/>
      <c r="E186" s="201" t="n"/>
      <c r="F186" s="201" t="n"/>
      <c r="G186" s="201" t="n"/>
      <c r="H186" s="201" t="n"/>
      <c r="I186" s="201" t="n"/>
      <c r="J186" s="201" t="n"/>
    </row>
    <row r="187">
      <c r="B187" s="201" t="n"/>
      <c r="C187" s="201" t="n"/>
      <c r="D187" s="201" t="n"/>
      <c r="E187" s="201" t="n"/>
      <c r="F187" s="201" t="n"/>
      <c r="G187" s="201" t="n"/>
      <c r="H187" s="201" t="n"/>
      <c r="I187" s="201" t="n"/>
      <c r="J187" s="201" t="n"/>
    </row>
    <row r="188">
      <c r="B188" s="201" t="n"/>
      <c r="C188" s="201" t="n"/>
      <c r="D188" s="201" t="n"/>
      <c r="E188" s="201" t="n"/>
      <c r="F188" s="201" t="n"/>
      <c r="G188" s="201" t="n"/>
      <c r="H188" s="201" t="n"/>
      <c r="I188" s="201" t="n"/>
      <c r="J188" s="201" t="n"/>
    </row>
    <row r="189">
      <c r="B189" s="201" t="n"/>
      <c r="C189" s="201" t="n"/>
      <c r="D189" s="201" t="n"/>
      <c r="E189" s="201" t="n"/>
      <c r="F189" s="201" t="n"/>
      <c r="G189" s="201" t="n"/>
      <c r="H189" s="201" t="n"/>
      <c r="I189" s="201" t="n"/>
      <c r="J189" s="201" t="n"/>
    </row>
    <row r="190">
      <c r="B190" s="201" t="n"/>
      <c r="C190" s="201" t="n"/>
      <c r="D190" s="201" t="n"/>
      <c r="E190" s="201" t="n"/>
      <c r="F190" s="201" t="n"/>
      <c r="G190" s="201" t="n"/>
      <c r="H190" s="201" t="n"/>
      <c r="I190" s="201" t="n"/>
      <c r="J190" s="201" t="n"/>
    </row>
    <row r="191">
      <c r="B191" s="201" t="n"/>
      <c r="C191" s="201" t="n"/>
      <c r="D191" s="201" t="n"/>
      <c r="E191" s="201" t="n"/>
      <c r="F191" s="201" t="n"/>
      <c r="G191" s="201" t="n"/>
      <c r="H191" s="201" t="n"/>
      <c r="I191" s="201" t="n"/>
      <c r="J191" s="201" t="n"/>
    </row>
    <row r="192">
      <c r="B192" s="201" t="n"/>
      <c r="C192" s="201" t="n"/>
      <c r="D192" s="201" t="n"/>
      <c r="E192" s="201" t="n"/>
      <c r="F192" s="201" t="n"/>
      <c r="G192" s="201" t="n"/>
      <c r="H192" s="201" t="n"/>
      <c r="I192" s="201" t="n"/>
      <c r="J192" s="201" t="n"/>
    </row>
    <row r="193">
      <c r="B193" s="201" t="n"/>
      <c r="C193" s="201" t="n"/>
      <c r="D193" s="201" t="n"/>
      <c r="E193" s="201" t="n"/>
      <c r="F193" s="201" t="n"/>
      <c r="G193" s="201" t="n"/>
      <c r="H193" s="201" t="n"/>
      <c r="I193" s="201" t="n"/>
      <c r="J193" s="201" t="n"/>
    </row>
    <row r="194">
      <c r="B194" s="201" t="n"/>
      <c r="C194" s="201" t="n"/>
      <c r="D194" s="201" t="n"/>
      <c r="E194" s="201" t="n"/>
      <c r="F194" s="201" t="n"/>
      <c r="G194" s="201" t="n"/>
      <c r="H194" s="201" t="n"/>
      <c r="I194" s="201" t="n"/>
      <c r="J194" s="201" t="n"/>
    </row>
    <row r="195">
      <c r="B195" s="201" t="n"/>
      <c r="C195" s="201" t="n"/>
      <c r="D195" s="201" t="n"/>
      <c r="E195" s="201" t="n"/>
      <c r="F195" s="201" t="n"/>
      <c r="G195" s="201" t="n"/>
      <c r="H195" s="201" t="n"/>
      <c r="I195" s="201" t="n"/>
      <c r="J195" s="201" t="n"/>
    </row>
    <row r="196">
      <c r="B196" s="201" t="n"/>
      <c r="C196" s="201" t="n"/>
      <c r="D196" s="201" t="n"/>
      <c r="E196" s="201" t="n"/>
      <c r="F196" s="201" t="n"/>
      <c r="G196" s="201" t="n"/>
      <c r="H196" s="201" t="n"/>
      <c r="I196" s="201" t="n"/>
      <c r="J196" s="201" t="n"/>
    </row>
    <row r="197">
      <c r="B197" s="201" t="n"/>
      <c r="C197" s="201" t="n"/>
      <c r="D197" s="201" t="n"/>
      <c r="E197" s="201" t="n"/>
      <c r="F197" s="201" t="n"/>
      <c r="G197" s="201" t="n"/>
      <c r="H197" s="201" t="n"/>
      <c r="I197" s="201" t="n"/>
      <c r="J197" s="201" t="n"/>
    </row>
    <row r="198">
      <c r="B198" s="201" t="n"/>
      <c r="C198" s="201" t="n"/>
      <c r="D198" s="201" t="n"/>
      <c r="E198" s="201" t="n"/>
      <c r="F198" s="201" t="n"/>
      <c r="G198" s="201" t="n"/>
      <c r="H198" s="201" t="n"/>
      <c r="I198" s="201" t="n"/>
      <c r="J198" s="201" t="n"/>
    </row>
    <row r="199">
      <c r="B199" s="201" t="n"/>
      <c r="C199" s="201" t="n"/>
      <c r="D199" s="201" t="n"/>
      <c r="E199" s="201" t="n"/>
      <c r="F199" s="201" t="n"/>
      <c r="G199" s="201" t="n"/>
      <c r="H199" s="201" t="n"/>
      <c r="I199" s="201" t="n"/>
      <c r="J199" s="201" t="n"/>
    </row>
    <row r="200">
      <c r="B200" s="201" t="n"/>
      <c r="C200" s="201" t="n"/>
      <c r="D200" s="201" t="n"/>
      <c r="E200" s="201" t="n"/>
      <c r="F200" s="201" t="n"/>
      <c r="G200" s="201" t="n"/>
      <c r="H200" s="201" t="n"/>
      <c r="I200" s="201" t="n"/>
      <c r="J200" s="201" t="n"/>
    </row>
    <row r="201">
      <c r="B201" s="201" t="n"/>
      <c r="C201" s="201" t="n"/>
      <c r="D201" s="201" t="n"/>
      <c r="E201" s="201" t="n"/>
      <c r="F201" s="201" t="n"/>
      <c r="G201" s="201" t="n"/>
      <c r="H201" s="201" t="n"/>
      <c r="I201" s="201" t="n"/>
      <c r="J201" s="201" t="n"/>
    </row>
    <row r="202">
      <c r="B202" s="201" t="n"/>
      <c r="C202" s="201" t="n"/>
      <c r="D202" s="201" t="n"/>
      <c r="E202" s="201" t="n"/>
      <c r="F202" s="201" t="n"/>
      <c r="G202" s="201" t="n"/>
      <c r="H202" s="201" t="n"/>
      <c r="I202" s="201" t="n"/>
      <c r="J202" s="201" t="n"/>
    </row>
    <row r="203">
      <c r="B203" s="201" t="n"/>
      <c r="C203" s="201" t="n"/>
      <c r="D203" s="201" t="n"/>
      <c r="E203" s="201" t="n"/>
      <c r="F203" s="201" t="n"/>
      <c r="G203" s="201" t="n"/>
      <c r="H203" s="201" t="n"/>
      <c r="I203" s="201" t="n"/>
      <c r="J203" s="201" t="n"/>
    </row>
    <row r="204">
      <c r="B204" s="201" t="n"/>
      <c r="C204" s="201" t="n"/>
      <c r="D204" s="201" t="n"/>
      <c r="E204" s="201" t="n"/>
      <c r="F204" s="201" t="n"/>
      <c r="G204" s="201" t="n"/>
      <c r="H204" s="201" t="n"/>
      <c r="I204" s="201" t="n"/>
      <c r="J204" s="201" t="n"/>
    </row>
    <row r="205">
      <c r="B205" s="201" t="n"/>
      <c r="C205" s="201" t="n"/>
      <c r="D205" s="201" t="n"/>
      <c r="E205" s="201" t="n"/>
      <c r="F205" s="201" t="n"/>
      <c r="G205" s="201" t="n"/>
      <c r="H205" s="201" t="n"/>
      <c r="I205" s="201" t="n"/>
      <c r="J205" s="201" t="n"/>
    </row>
    <row r="206">
      <c r="B206" s="201" t="n"/>
      <c r="C206" s="201" t="n"/>
      <c r="D206" s="201" t="n"/>
      <c r="E206" s="201" t="n"/>
      <c r="F206" s="201" t="n"/>
      <c r="G206" s="201" t="n"/>
      <c r="H206" s="201" t="n"/>
      <c r="I206" s="201" t="n"/>
      <c r="J206" s="201" t="n"/>
    </row>
    <row r="207">
      <c r="B207" s="201" t="n"/>
      <c r="C207" s="201" t="n"/>
      <c r="D207" s="201" t="n"/>
      <c r="E207" s="201" t="n"/>
      <c r="F207" s="201" t="n"/>
      <c r="G207" s="201" t="n"/>
      <c r="H207" s="201" t="n"/>
      <c r="I207" s="201" t="n"/>
      <c r="J207" s="201" t="n"/>
    </row>
    <row r="208">
      <c r="B208" s="201" t="n"/>
      <c r="C208" s="201" t="n"/>
      <c r="D208" s="201" t="n"/>
      <c r="E208" s="201" t="n"/>
      <c r="F208" s="201" t="n"/>
      <c r="G208" s="201" t="n"/>
      <c r="H208" s="201" t="n"/>
      <c r="I208" s="201" t="n"/>
      <c r="J208" s="201" t="n"/>
    </row>
    <row r="209">
      <c r="B209" s="201" t="n"/>
      <c r="C209" s="201" t="n"/>
      <c r="D209" s="201" t="n"/>
      <c r="E209" s="201" t="n"/>
      <c r="F209" s="201" t="n"/>
      <c r="G209" s="201" t="n"/>
      <c r="H209" s="201" t="n"/>
      <c r="I209" s="201" t="n"/>
      <c r="J209" s="201" t="n"/>
    </row>
    <row r="210">
      <c r="B210" s="201" t="n"/>
      <c r="C210" s="201" t="n"/>
      <c r="D210" s="201" t="n"/>
      <c r="E210" s="201" t="n"/>
      <c r="F210" s="201" t="n"/>
      <c r="G210" s="201" t="n"/>
      <c r="H210" s="201" t="n"/>
      <c r="I210" s="201" t="n"/>
      <c r="J210" s="201" t="n"/>
    </row>
    <row r="211">
      <c r="B211" s="201" t="n"/>
      <c r="C211" s="201" t="n"/>
      <c r="D211" s="201" t="n"/>
      <c r="E211" s="201" t="n"/>
      <c r="F211" s="201" t="n"/>
      <c r="G211" s="201" t="n"/>
      <c r="H211" s="201" t="n"/>
      <c r="I211" s="201" t="n"/>
      <c r="J211" s="201" t="n"/>
    </row>
    <row r="212">
      <c r="B212" s="201" t="n"/>
      <c r="C212" s="201" t="n"/>
      <c r="D212" s="201" t="n"/>
      <c r="E212" s="201" t="n"/>
      <c r="F212" s="201" t="n"/>
      <c r="G212" s="201" t="n"/>
      <c r="H212" s="201" t="n"/>
      <c r="I212" s="201" t="n"/>
      <c r="J212" s="201" t="n"/>
    </row>
    <row r="213">
      <c r="B213" s="201" t="n"/>
      <c r="C213" s="201" t="n"/>
      <c r="D213" s="201" t="n"/>
      <c r="E213" s="201" t="n"/>
      <c r="F213" s="201" t="n"/>
      <c r="G213" s="201" t="n"/>
      <c r="H213" s="201" t="n"/>
      <c r="I213" s="201" t="n"/>
      <c r="J213" s="201" t="n"/>
    </row>
    <row r="214">
      <c r="B214" s="201" t="n"/>
      <c r="C214" s="201" t="n"/>
      <c r="D214" s="201" t="n"/>
      <c r="E214" s="201" t="n"/>
      <c r="F214" s="201" t="n"/>
      <c r="G214" s="201" t="n"/>
      <c r="H214" s="201" t="n"/>
      <c r="I214" s="201" t="n"/>
      <c r="J214" s="201" t="n"/>
    </row>
    <row r="215">
      <c r="B215" s="201" t="n"/>
      <c r="C215" s="201" t="n"/>
      <c r="D215" s="201" t="n"/>
      <c r="E215" s="201" t="n"/>
      <c r="F215" s="201" t="n"/>
      <c r="G215" s="201" t="n"/>
      <c r="H215" s="201" t="n"/>
      <c r="I215" s="201" t="n"/>
      <c r="J215" s="201" t="n"/>
    </row>
    <row r="216">
      <c r="B216" s="201" t="n"/>
      <c r="C216" s="201" t="n"/>
      <c r="D216" s="201" t="n"/>
      <c r="E216" s="201" t="n"/>
      <c r="F216" s="201" t="n"/>
      <c r="G216" s="201" t="n"/>
      <c r="H216" s="201" t="n"/>
      <c r="I216" s="201" t="n"/>
      <c r="J216" s="201" t="n"/>
    </row>
    <row r="217">
      <c r="B217" s="201" t="n"/>
      <c r="C217" s="201" t="n"/>
      <c r="D217" s="201" t="n"/>
      <c r="E217" s="201" t="n"/>
      <c r="F217" s="201" t="n"/>
      <c r="G217" s="201" t="n"/>
      <c r="H217" s="201" t="n"/>
      <c r="I217" s="201" t="n"/>
      <c r="J217" s="201" t="n"/>
    </row>
    <row r="218">
      <c r="B218" s="201" t="n"/>
      <c r="C218" s="201" t="n"/>
      <c r="D218" s="201" t="n"/>
      <c r="E218" s="201" t="n"/>
      <c r="F218" s="201" t="n"/>
      <c r="G218" s="201" t="n"/>
      <c r="H218" s="201" t="n"/>
      <c r="I218" s="201" t="n"/>
      <c r="J218" s="201" t="n"/>
    </row>
    <row r="219">
      <c r="B219" s="201" t="n"/>
      <c r="C219" s="201" t="n"/>
      <c r="D219" s="201" t="n"/>
      <c r="E219" s="201" t="n"/>
      <c r="F219" s="201" t="n"/>
      <c r="G219" s="201" t="n"/>
      <c r="H219" s="201" t="n"/>
      <c r="I219" s="201" t="n"/>
      <c r="J219" s="201" t="n"/>
    </row>
    <row r="220">
      <c r="B220" s="201" t="n"/>
      <c r="C220" s="201" t="n"/>
      <c r="D220" s="201" t="n"/>
      <c r="E220" s="201" t="n"/>
      <c r="F220" s="201" t="n"/>
      <c r="G220" s="201" t="n"/>
      <c r="H220" s="201" t="n"/>
      <c r="I220" s="201" t="n"/>
      <c r="J220" s="201" t="n"/>
    </row>
  </sheetData>
  <autoFilter ref="B4:J40"/>
  <conditionalFormatting sqref="G5:G40">
    <cfRule type="cellIs" priority="1" operator="equal" dxfId="24">
      <formula>"Done"</formula>
    </cfRule>
    <cfRule type="cellIs" priority="2" operator="equal" dxfId="25">
      <formula>"In Progress"</formula>
    </cfRule>
    <cfRule type="cellIs" priority="3" operator="equal" dxfId="26">
      <formula>"Waiting"</formula>
    </cfRule>
    <cfRule type="cellIs" priority="4" operator="equal" dxfId="27">
      <formula>"Blocked"</formula>
    </cfRule>
  </conditionalFormatting>
  <conditionalFormatting sqref="J5:J40">
    <cfRule type="dataBar" priority="5">
      <dataBar showValue="1">
        <cfvo type="num" val="0"/>
        <cfvo type="num" val="1"/>
        <color rgb="004F81BD"/>
      </dataBar>
    </cfRule>
  </conditionalFormatting>
  <dataValidations count="3">
    <dataValidation sqref="G5:G40" showDropDown="0" showInputMessage="0" showErrorMessage="0" allowBlank="0" type="list">
      <formula1>=Dashboard!$X$2:$X$6</formula1>
    </dataValidation>
    <dataValidation sqref="H5:H40" showDropDown="0" showInputMessage="0" showErrorMessage="0" allowBlank="0" type="list">
      <formula1>=Dashboard!$Y$2:$Y$5</formula1>
    </dataValidation>
    <dataValidation sqref="I5:I40" showDropDown="0" showInputMessage="0" showErrorMessage="0" allowBlank="0" type="list">
      <formula1>=Dashboard!$Z$2:$Z$4</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2.6328125" customWidth="1" style="80" min="1" max="1"/>
    <col width="16" customWidth="1" style="80" min="2" max="2"/>
    <col width="10" customWidth="1" style="80" min="3" max="3"/>
    <col width="10" customWidth="1" style="80" min="4" max="4"/>
    <col width="18" customWidth="1" style="80" min="5" max="5"/>
    <col width="14" customWidth="1" style="80" min="6" max="6"/>
    <col width="12" customWidth="1" style="80" min="7" max="7"/>
    <col width="12" customWidth="1" style="80" min="8" max="8"/>
    <col width="12" customWidth="1" style="80" min="9" max="9"/>
    <col width="10" customWidth="1" style="80" min="10" max="10"/>
    <col width="17" customWidth="1" style="80" min="11" max="11"/>
    <col width="10" customWidth="1" style="80" min="12" max="12"/>
    <col width="10" customWidth="1" style="80" min="13" max="13"/>
    <col width="12" customWidth="1" style="80" min="14" max="14"/>
    <col width="10" customWidth="1" style="80" min="15" max="15"/>
    <col width="12" customWidth="1" style="80" min="16" max="16"/>
    <col width="10" customWidth="1" style="80" min="17" max="17"/>
    <col width="12" customWidth="1" style="80" min="18" max="18"/>
    <col hidden="1" width="13" customWidth="1" style="80" min="24" max="24"/>
    <col hidden="1" width="13" customWidth="1" style="80" min="25" max="25"/>
    <col hidden="1" width="13" customWidth="1" style="80" min="26" max="26"/>
  </cols>
  <sheetData>
    <row r="1" ht="15.75" customHeight="1" s="80">
      <c r="A1" s="32" t="n"/>
      <c r="B1" s="201" t="n"/>
      <c r="C1" s="201" t="n"/>
      <c r="D1" s="201" t="n"/>
      <c r="E1" s="201" t="n"/>
      <c r="F1" s="201" t="n"/>
      <c r="G1" s="201" t="n"/>
      <c r="H1" s="201" t="n"/>
      <c r="I1" s="201" t="n"/>
      <c r="J1" s="201" t="n"/>
      <c r="K1" s="201" t="n"/>
      <c r="L1" s="201" t="n"/>
      <c r="M1" s="201" t="n"/>
      <c r="N1" s="201" t="n"/>
      <c r="O1" s="201" t="n"/>
      <c r="P1" s="201" t="n"/>
      <c r="Q1" s="201" t="n"/>
      <c r="R1" s="201" t="n"/>
      <c r="S1" s="32" t="n"/>
      <c r="T1" s="32" t="n"/>
      <c r="U1" s="32" t="n"/>
      <c r="V1" s="32" t="n"/>
      <c r="W1" s="32" t="n"/>
      <c r="X1" s="32" t="inlineStr">
        <is>
          <t>Status Options</t>
        </is>
      </c>
      <c r="Y1" s="32" t="inlineStr">
        <is>
          <t>Owner Options</t>
        </is>
      </c>
      <c r="Z1" s="32" t="inlineStr">
        <is>
          <t>Priority Options</t>
        </is>
      </c>
    </row>
    <row r="2" ht="24" customHeight="1" s="80">
      <c r="A2" s="32" t="n"/>
      <c r="B2" s="264" t="inlineStr">
        <is>
          <t>FNOMO LIVE PIPELINE DASHBOARD</t>
        </is>
      </c>
      <c r="S2" s="32" t="n"/>
      <c r="T2" s="32" t="n"/>
      <c r="U2" s="32" t="n"/>
      <c r="V2" s="32" t="n"/>
      <c r="W2" s="32" t="n"/>
      <c r="X2" s="32" t="inlineStr">
        <is>
          <t>Not Started</t>
        </is>
      </c>
      <c r="Y2" s="32" t="inlineStr">
        <is>
          <t>Kush</t>
        </is>
      </c>
      <c r="Z2" s="32" t="inlineStr">
        <is>
          <t>High</t>
        </is>
      </c>
    </row>
    <row r="3" ht="24" customHeight="1" s="80">
      <c r="A3" s="32" t="n"/>
      <c r="B3" s="235" t="inlineStr">
        <is>
          <t>Connected to FNOMO_MASTER_PIPELINE + Notion GTM Command Dashboard. Current progress refreshed by Codex on 2026-05-03.</t>
        </is>
      </c>
      <c r="S3" s="32" t="n"/>
      <c r="T3" s="32" t="n"/>
      <c r="U3" s="32" t="n"/>
      <c r="V3" s="32" t="n"/>
      <c r="W3" s="32" t="n"/>
      <c r="X3" s="32" t="inlineStr">
        <is>
          <t>In Progress</t>
        </is>
      </c>
      <c r="Y3" s="32" t="inlineStr">
        <is>
          <t>Indu</t>
        </is>
      </c>
      <c r="Z3" s="32" t="inlineStr">
        <is>
          <t>Medium</t>
        </is>
      </c>
    </row>
    <row r="4" ht="15.75" customHeight="1" s="80">
      <c r="A4" s="32" t="n"/>
      <c r="B4" s="265" t="inlineStr">
        <is>
          <t>Total Leads</t>
        </is>
      </c>
      <c r="C4" s="201" t="n"/>
      <c r="D4" s="201" t="n"/>
      <c r="E4" s="201" t="n"/>
      <c r="F4" s="265" t="inlineStr">
        <is>
          <t>Contacted</t>
        </is>
      </c>
      <c r="G4" s="201" t="n"/>
      <c r="H4" s="201" t="n"/>
      <c r="I4" s="201" t="n"/>
      <c r="J4" s="265" t="inlineStr">
        <is>
          <t>Tier A Pending</t>
        </is>
      </c>
      <c r="K4" s="201" t="n"/>
      <c r="L4" s="201" t="n"/>
      <c r="M4" s="201" t="n"/>
      <c r="N4" s="265" t="inlineStr">
        <is>
          <t>Reply Rate</t>
        </is>
      </c>
      <c r="O4" s="201" t="n"/>
      <c r="P4" s="201" t="n"/>
      <c r="Q4" s="201" t="n"/>
      <c r="R4" s="201" t="inlineStr">
        <is>
          <t>Messaging Test Rows</t>
        </is>
      </c>
      <c r="S4" s="32" t="n"/>
      <c r="T4" s="32" t="n"/>
      <c r="U4" s="32" t="n"/>
      <c r="V4" s="32" t="n"/>
      <c r="W4" s="32" t="n"/>
      <c r="X4" s="32" t="inlineStr">
        <is>
          <t>Waiting</t>
        </is>
      </c>
      <c r="Y4" s="32" t="inlineStr">
        <is>
          <t>Codex</t>
        </is>
      </c>
      <c r="Z4" s="32" t="inlineStr">
        <is>
          <t>Low</t>
        </is>
      </c>
    </row>
    <row r="5" ht="15.75" customHeight="1" s="80">
      <c r="A5" s="32" t="n"/>
      <c r="B5" s="236" t="n">
        <v>194</v>
      </c>
      <c r="C5" s="252" t="n"/>
      <c r="D5" s="252" t="n"/>
      <c r="E5" s="253" t="n"/>
      <c r="F5" s="237" t="n">
        <v>103</v>
      </c>
      <c r="G5" s="252" t="n"/>
      <c r="H5" s="252" t="n"/>
      <c r="I5" s="253" t="n"/>
      <c r="J5" s="238" t="n">
        <v>22</v>
      </c>
      <c r="K5" s="252" t="n"/>
      <c r="L5" s="252" t="n"/>
      <c r="M5" s="253" t="n"/>
      <c r="N5" s="239" t="n">
        <v>27</v>
      </c>
      <c r="O5" s="252" t="n"/>
      <c r="P5" s="252" t="n"/>
      <c r="Q5" s="252" t="n"/>
      <c r="R5" s="253" t="n"/>
      <c r="S5" s="32" t="n"/>
      <c r="T5" s="32" t="n"/>
      <c r="U5" s="32" t="n"/>
      <c r="V5" s="32" t="n"/>
      <c r="W5" s="32" t="n"/>
      <c r="X5" s="32" t="inlineStr">
        <is>
          <t>Blocked</t>
        </is>
      </c>
      <c r="Y5" s="32" t="inlineStr">
        <is>
          <t>Shared</t>
        </is>
      </c>
      <c r="Z5" s="32" t="n"/>
    </row>
    <row r="6" ht="36" customHeight="1" s="80">
      <c r="A6" s="32" t="n"/>
      <c r="B6" s="254" t="n"/>
      <c r="E6" s="255" t="n"/>
      <c r="F6" s="254" t="n"/>
      <c r="I6" s="255" t="n"/>
      <c r="J6" s="254" t="n"/>
      <c r="M6" s="255" t="n"/>
      <c r="N6" s="254" t="n"/>
      <c r="R6" s="255" t="n"/>
      <c r="S6" s="32" t="n"/>
      <c r="T6" s="32" t="n"/>
      <c r="U6" s="32" t="n"/>
      <c r="V6" s="32" t="n"/>
      <c r="W6" s="32" t="n"/>
      <c r="X6" s="32" t="inlineStr">
        <is>
          <t>Done</t>
        </is>
      </c>
      <c r="Y6" s="32" t="n"/>
      <c r="Z6" s="32" t="n"/>
    </row>
    <row r="7" ht="15.75" customHeight="1" s="80">
      <c r="A7" s="32" t="n"/>
      <c r="B7" s="254" t="n"/>
      <c r="E7" s="255" t="n"/>
      <c r="F7" s="254" t="n"/>
      <c r="I7" s="255" t="n"/>
      <c r="J7" s="254" t="n"/>
      <c r="M7" s="255" t="n"/>
      <c r="N7" s="254" t="n"/>
      <c r="R7" s="255" t="n"/>
      <c r="S7" s="32" t="n"/>
      <c r="T7" s="32" t="n"/>
      <c r="U7" s="32" t="n"/>
      <c r="V7" s="32" t="n"/>
      <c r="W7" s="32" t="n"/>
      <c r="X7" s="32" t="n"/>
      <c r="Y7" s="32" t="n"/>
      <c r="Z7" s="32" t="n"/>
    </row>
    <row r="8" ht="15.75" customHeight="1" s="80">
      <c r="A8" s="32" t="n"/>
      <c r="B8" s="256" t="n"/>
      <c r="C8" s="257" t="n"/>
      <c r="D8" s="257" t="n"/>
      <c r="E8" s="258" t="n"/>
      <c r="F8" s="256" t="n"/>
      <c r="G8" s="257" t="n"/>
      <c r="H8" s="257" t="n"/>
      <c r="I8" s="258" t="n"/>
      <c r="J8" s="256" t="n"/>
      <c r="K8" s="257" t="n"/>
      <c r="L8" s="257" t="n"/>
      <c r="M8" s="258" t="n"/>
      <c r="N8" s="256" t="n"/>
      <c r="O8" s="257" t="n"/>
      <c r="P8" s="257" t="n"/>
      <c r="Q8" s="257" t="n"/>
      <c r="R8" s="258" t="n"/>
      <c r="S8" s="32" t="n"/>
      <c r="T8" s="32" t="n"/>
      <c r="U8" s="32" t="n"/>
      <c r="V8" s="32" t="n"/>
      <c r="W8" s="32" t="n"/>
      <c r="X8" s="32" t="n"/>
      <c r="Y8" s="32" t="n"/>
      <c r="Z8" s="32" t="n"/>
    </row>
    <row r="9" ht="15.75" customHeight="1" s="80">
      <c r="A9" s="32" t="n"/>
      <c r="B9" s="265" t="inlineStr">
        <is>
          <t>New</t>
        </is>
      </c>
      <c r="C9" s="201" t="n"/>
      <c r="D9" s="201" t="n"/>
      <c r="E9" s="201" t="n"/>
      <c r="F9" s="265" t="inlineStr">
        <is>
          <t>Active</t>
        </is>
      </c>
      <c r="G9" s="201" t="n"/>
      <c r="H9" s="201" t="n"/>
      <c r="I9" s="201" t="n"/>
      <c r="J9" s="265" t="inlineStr">
        <is>
          <t>Waiting</t>
        </is>
      </c>
      <c r="K9" s="201" t="n"/>
      <c r="L9" s="201" t="n"/>
      <c r="M9" s="201" t="n"/>
      <c r="N9" s="265" t="inlineStr">
        <is>
          <t>Contacted Today</t>
        </is>
      </c>
      <c r="O9" s="201" t="n"/>
      <c r="P9" s="201" t="n"/>
      <c r="Q9" s="201" t="n"/>
      <c r="R9" s="201" t="n"/>
      <c r="S9" s="32" t="n"/>
      <c r="T9" s="32" t="n"/>
      <c r="U9" s="32" t="n"/>
      <c r="V9" s="32" t="n"/>
      <c r="W9" s="32" t="n"/>
      <c r="X9" s="32" t="n"/>
      <c r="Y9" s="32" t="n"/>
      <c r="Z9" s="32" t="n"/>
    </row>
    <row r="10" ht="15.75" customHeight="1" s="80">
      <c r="A10" s="32" t="n"/>
      <c r="B10" s="240" t="n">
        <v>86</v>
      </c>
      <c r="C10" s="252" t="n"/>
      <c r="D10" s="253" t="n"/>
      <c r="E10" s="201" t="n"/>
      <c r="F10" s="241" t="n">
        <v>120</v>
      </c>
      <c r="G10" s="252" t="n"/>
      <c r="H10" s="253" t="n"/>
      <c r="I10" s="201" t="n"/>
      <c r="J10" s="242" t="n">
        <v>65</v>
      </c>
      <c r="K10" s="252" t="n"/>
      <c r="L10" s="253" t="n"/>
      <c r="M10" s="201" t="n"/>
      <c r="N10" s="243" t="n">
        <v>47</v>
      </c>
      <c r="O10" s="252" t="n"/>
      <c r="P10" s="252" t="n"/>
      <c r="Q10" s="252" t="n"/>
      <c r="R10" s="253" t="n"/>
      <c r="S10" s="32" t="n"/>
      <c r="T10" s="32" t="n"/>
      <c r="U10" s="32" t="n"/>
      <c r="V10" s="32" t="n"/>
      <c r="W10" s="32" t="n"/>
      <c r="X10" s="32" t="n"/>
      <c r="Y10" s="32" t="n"/>
      <c r="Z10" s="32" t="n"/>
    </row>
    <row r="11" ht="28" customHeight="1" s="80">
      <c r="A11" s="32" t="n"/>
      <c r="B11" s="254" t="n"/>
      <c r="D11" s="255" t="n"/>
      <c r="E11" s="201" t="n"/>
      <c r="F11" s="254" t="n"/>
      <c r="H11" s="255" t="n"/>
      <c r="I11" s="201" t="n"/>
      <c r="J11" s="254" t="n"/>
      <c r="L11" s="255" t="n"/>
      <c r="M11" s="201" t="n"/>
      <c r="N11" s="254" t="n"/>
      <c r="R11" s="255" t="n"/>
      <c r="S11" s="32" t="n"/>
      <c r="T11" s="32" t="n"/>
      <c r="U11" s="32" t="n"/>
      <c r="V11" s="32" t="n"/>
      <c r="W11" s="32" t="n"/>
      <c r="X11" s="32" t="n"/>
      <c r="Y11" s="32" t="n"/>
      <c r="Z11" s="32" t="n"/>
    </row>
    <row r="12" ht="12.5" customHeight="1" s="80">
      <c r="A12" s="32" t="n"/>
      <c r="B12" s="256" t="n"/>
      <c r="C12" s="257" t="n"/>
      <c r="D12" s="258" t="n"/>
      <c r="E12" s="201" t="n"/>
      <c r="F12" s="256" t="n"/>
      <c r="G12" s="257" t="n"/>
      <c r="H12" s="258" t="n"/>
      <c r="I12" s="201" t="n"/>
      <c r="J12" s="256" t="n"/>
      <c r="K12" s="257" t="n"/>
      <c r="L12" s="258" t="n"/>
      <c r="M12" s="201" t="n"/>
      <c r="N12" s="256" t="n"/>
      <c r="O12" s="257" t="n"/>
      <c r="P12" s="257" t="n"/>
      <c r="Q12" s="257" t="n"/>
      <c r="R12" s="258" t="n"/>
      <c r="S12" s="32" t="n"/>
      <c r="T12" s="32" t="n"/>
      <c r="U12" s="32" t="n"/>
      <c r="V12" s="32" t="n"/>
      <c r="W12" s="32" t="n"/>
      <c r="X12" s="32" t="n"/>
      <c r="Y12" s="32" t="n"/>
      <c r="Z12" s="32" t="n"/>
    </row>
    <row r="13" ht="12.5" customHeight="1" s="80">
      <c r="A13" s="32" t="n"/>
      <c r="B13" s="201" t="n"/>
      <c r="C13" s="201" t="n"/>
      <c r="D13" s="201" t="n"/>
      <c r="E13" s="201" t="n"/>
      <c r="F13" s="201" t="n"/>
      <c r="G13" s="201" t="n"/>
      <c r="H13" s="201" t="n"/>
      <c r="I13" s="201" t="n"/>
      <c r="J13" s="201" t="n"/>
      <c r="K13" s="201" t="n"/>
      <c r="L13" s="201" t="n"/>
      <c r="M13" s="201" t="n"/>
      <c r="N13" s="201" t="n"/>
      <c r="O13" s="201" t="n"/>
      <c r="P13" s="201" t="n"/>
      <c r="Q13" s="201" t="n"/>
      <c r="R13" s="201" t="n"/>
      <c r="S13" s="32" t="n"/>
      <c r="T13" s="32" t="n"/>
      <c r="U13" s="32" t="n"/>
      <c r="V13" s="32" t="n"/>
      <c r="W13" s="32" t="n"/>
      <c r="X13" s="32" t="n"/>
      <c r="Y13" s="32" t="n"/>
      <c r="Z13" s="32" t="n"/>
    </row>
    <row r="14" ht="12.5" customHeight="1" s="80">
      <c r="A14" s="32" t="n"/>
      <c r="B14" s="244" t="inlineStr">
        <is>
          <t>Status Overview</t>
        </is>
      </c>
      <c r="C14" s="259" t="n"/>
      <c r="D14" s="259" t="n"/>
      <c r="E14" s="259" t="n"/>
      <c r="F14" s="260" t="n"/>
      <c r="G14" s="201" t="n"/>
      <c r="H14" s="244" t="inlineStr">
        <is>
          <t>Phase Performance</t>
        </is>
      </c>
      <c r="I14" s="259" t="n"/>
      <c r="J14" s="259" t="n"/>
      <c r="K14" s="259" t="n"/>
      <c r="L14" s="260" t="n"/>
      <c r="M14" s="201" t="n"/>
      <c r="N14" s="244" t="inlineStr">
        <is>
          <t>Owner Accountability</t>
        </is>
      </c>
      <c r="O14" s="259" t="n"/>
      <c r="P14" s="259" t="n"/>
      <c r="Q14" s="259" t="n"/>
      <c r="R14" s="260" t="n"/>
      <c r="S14" s="32" t="n"/>
      <c r="T14" s="32" t="n"/>
      <c r="U14" s="32" t="n"/>
      <c r="V14" s="32" t="n"/>
      <c r="W14" s="32" t="n"/>
      <c r="X14" s="32" t="n"/>
      <c r="Y14" s="32" t="n"/>
      <c r="Z14" s="32" t="n"/>
    </row>
    <row r="15" ht="12.5" customHeight="1" s="80">
      <c r="A15" s="32" t="n"/>
      <c r="B15" s="245" t="inlineStr">
        <is>
          <t>Status</t>
        </is>
      </c>
      <c r="C15" s="245" t="inlineStr">
        <is>
          <t>Count</t>
        </is>
      </c>
      <c r="D15" s="245" t="inlineStr">
        <is>
          <t>Share</t>
        </is>
      </c>
      <c r="E15" s="245" t="inlineStr">
        <is>
          <t>Target Signal</t>
        </is>
      </c>
      <c r="F15" s="245" t="inlineStr">
        <is>
          <t>Health</t>
        </is>
      </c>
      <c r="G15" s="201" t="n"/>
      <c r="H15" s="245" t="inlineStr">
        <is>
          <t>Phase</t>
        </is>
      </c>
      <c r="I15" s="245" t="inlineStr">
        <is>
          <t>Open</t>
        </is>
      </c>
      <c r="J15" s="245" t="inlineStr">
        <is>
          <t>Done</t>
        </is>
      </c>
      <c r="K15" s="245" t="inlineStr">
        <is>
          <t>Completion %</t>
        </is>
      </c>
      <c r="L15" s="245" t="inlineStr">
        <is>
          <t>Reading</t>
        </is>
      </c>
      <c r="M15" s="201" t="n"/>
      <c r="N15" s="245" t="inlineStr">
        <is>
          <t>Owner</t>
        </is>
      </c>
      <c r="O15" s="245" t="inlineStr">
        <is>
          <t>Open</t>
        </is>
      </c>
      <c r="P15" s="245" t="inlineStr">
        <is>
          <t>Done</t>
        </is>
      </c>
      <c r="Q15" s="245" t="inlineStr">
        <is>
          <t>Share of Open</t>
        </is>
      </c>
      <c r="R15" s="245" t="inlineStr">
        <is>
          <t>Reading</t>
        </is>
      </c>
      <c r="S15" s="32" t="n"/>
      <c r="T15" s="32" t="n"/>
      <c r="U15" s="32" t="n"/>
      <c r="V15" s="32" t="n"/>
      <c r="W15" s="32" t="n"/>
      <c r="X15" s="32" t="n"/>
      <c r="Y15" s="32" t="n"/>
      <c r="Z15" s="32" t="n"/>
    </row>
    <row r="16" ht="12.5" customHeight="1" s="80">
      <c r="A16" s="32" t="n"/>
      <c r="B16" s="246" t="inlineStr">
        <is>
          <t>Not Started</t>
        </is>
      </c>
      <c r="C16" s="246">
        <f>COUNTIF(GTM_Schedule!$G$5:$G$40,B16)</f>
        <v/>
      </c>
      <c r="D16" s="247">
        <f>IFERROR(C16/COUNTA(GTM_Schedule!$D$5:$D$40),0)</f>
        <v/>
      </c>
      <c r="E16" s="246" t="inlineStr">
        <is>
          <t>Watch</t>
        </is>
      </c>
      <c r="F16" s="246">
        <f>REPT("|",ROUND(D16*20,0))</f>
        <v/>
      </c>
      <c r="G16" s="201" t="n"/>
      <c r="H16" s="248" t="inlineStr">
        <is>
          <t>Phase 1</t>
        </is>
      </c>
      <c r="I16" s="248">
        <f>COUNTIF(GTM_Schedule!$C$5:$C$40,"Phase 1*")-COUNTIFS(GTM_Schedule!$C$5:$C$40,"Phase 1*",GTM_Schedule!$G$5:$G$40,"Done")</f>
        <v/>
      </c>
      <c r="J16" s="248">
        <f>COUNTIFS(GTM_Schedule!$C$5:$C$40,"Phase 1*",GTM_Schedule!$G$5:$G$40,"Done")</f>
        <v/>
      </c>
      <c r="K16" s="249">
        <f>IFERROR(J16/(I16+J16),0)</f>
        <v/>
      </c>
      <c r="L16" s="248">
        <f>IF(K16&gt;=0.75,"Strong",IF(K16&gt;=0.4,"Moving","Early"))</f>
        <v/>
      </c>
      <c r="M16" s="201" t="n"/>
      <c r="N16" s="248" t="inlineStr">
        <is>
          <t>Kush</t>
        </is>
      </c>
      <c r="O16" s="248">
        <f>COUNTIF(GTM_Schedule!$H$5:$H$40,N16)-COUNTIFS(GTM_Schedule!$H$5:$H$40,N16,GTM_Schedule!$G$5:$G$40,"Done")</f>
        <v/>
      </c>
      <c r="P16" s="248">
        <f>COUNTIFS(GTM_Schedule!$H$5:$H$40,N16,GTM_Schedule!$G$5:$G$40,"Done")</f>
        <v/>
      </c>
      <c r="Q16" s="249">
        <f>IFERROR(O16/SUM($O$16:$O$19),0)</f>
        <v/>
      </c>
      <c r="R16" s="248">
        <f>IF(O16=0,"Clear",IF(O16&lt;=3,"Controlled","Loaded"))</f>
        <v/>
      </c>
      <c r="S16" s="32" t="n"/>
      <c r="T16" s="32" t="n"/>
      <c r="U16" s="32" t="n"/>
      <c r="V16" s="32" t="n"/>
      <c r="W16" s="32" t="n"/>
      <c r="X16" s="32" t="n"/>
      <c r="Y16" s="32" t="n"/>
      <c r="Z16" s="32" t="n"/>
    </row>
    <row r="17" ht="12.5" customHeight="1" s="80">
      <c r="A17" s="32" t="n"/>
      <c r="B17" s="246" t="inlineStr">
        <is>
          <t>In Progress</t>
        </is>
      </c>
      <c r="C17" s="246">
        <f>COUNTIF(GTM_Schedule!$G$5:$G$40,B17)</f>
        <v/>
      </c>
      <c r="D17" s="247">
        <f>IFERROR(C17/COUNTA(GTM_Schedule!$D$5:$D$40),0)</f>
        <v/>
      </c>
      <c r="E17" s="246" t="inlineStr">
        <is>
          <t>Stable</t>
        </is>
      </c>
      <c r="F17" s="246">
        <f>REPT("|",ROUND(D17*20,0))</f>
        <v/>
      </c>
      <c r="G17" s="201" t="n"/>
      <c r="H17" s="248" t="inlineStr">
        <is>
          <t>Phase 2</t>
        </is>
      </c>
      <c r="I17" s="248">
        <f>COUNTIF(GTM_Schedule!$C$5:$C$40,"Phase 2*")-COUNTIFS(GTM_Schedule!$C$5:$C$40,"Phase 2*",GTM_Schedule!$G$5:$G$40,"Done")</f>
        <v/>
      </c>
      <c r="J17" s="248">
        <f>COUNTIFS(GTM_Schedule!$C$5:$C$40,"Phase 2*",GTM_Schedule!$G$5:$G$40,"Done")</f>
        <v/>
      </c>
      <c r="K17" s="249">
        <f>IFERROR(J17/(I17+J17),0)</f>
        <v/>
      </c>
      <c r="L17" s="248">
        <f>IF(K17&gt;=0.75,"Strong",IF(K17&gt;=0.4,"Moving","Early"))</f>
        <v/>
      </c>
      <c r="M17" s="201" t="n"/>
      <c r="N17" s="248" t="inlineStr">
        <is>
          <t>Indu</t>
        </is>
      </c>
      <c r="O17" s="248">
        <f>COUNTIF(GTM_Schedule!$H$5:$H$40,N17)-COUNTIFS(GTM_Schedule!$H$5:$H$40,N17,GTM_Schedule!$G$5:$G$40,"Done")</f>
        <v/>
      </c>
      <c r="P17" s="248">
        <f>COUNTIFS(GTM_Schedule!$H$5:$H$40,N17,GTM_Schedule!$G$5:$G$40,"Done")</f>
        <v/>
      </c>
      <c r="Q17" s="249">
        <f>IFERROR(O17/SUM($O$16:$O$19),0)</f>
        <v/>
      </c>
      <c r="R17" s="248">
        <f>IF(O17=0,"Clear",IF(O17&lt;=3,"Controlled","Loaded"))</f>
        <v/>
      </c>
      <c r="S17" s="32" t="n"/>
      <c r="T17" s="32" t="n"/>
      <c r="U17" s="32" t="n"/>
      <c r="V17" s="32" t="n"/>
      <c r="W17" s="32" t="n"/>
      <c r="X17" s="32" t="n"/>
      <c r="Y17" s="32" t="n"/>
      <c r="Z17" s="32" t="n"/>
    </row>
    <row r="18" ht="12.5" customHeight="1" s="80">
      <c r="A18" s="32" t="n"/>
      <c r="B18" s="246" t="inlineStr">
        <is>
          <t>Waiting</t>
        </is>
      </c>
      <c r="C18" s="246">
        <f>COUNTIF(GTM_Schedule!$G$5:$G$40,B18)</f>
        <v/>
      </c>
      <c r="D18" s="247">
        <f>IFERROR(C18/COUNTA(GTM_Schedule!$D$5:$D$40),0)</f>
        <v/>
      </c>
      <c r="E18" s="246" t="inlineStr">
        <is>
          <t>Attention</t>
        </is>
      </c>
      <c r="F18" s="246">
        <f>REPT("|",ROUND(D18*20,0))</f>
        <v/>
      </c>
      <c r="G18" s="201" t="n"/>
      <c r="H18" s="248" t="inlineStr">
        <is>
          <t>Phase 3</t>
        </is>
      </c>
      <c r="I18" s="248">
        <f>COUNTIF(GTM_Schedule!$C$5:$C$40,"Phase 3*")-COUNTIFS(GTM_Schedule!$C$5:$C$40,"Phase 3*",GTM_Schedule!$G$5:$G$40,"Done")</f>
        <v/>
      </c>
      <c r="J18" s="248">
        <f>COUNTIFS(GTM_Schedule!$C$5:$C$40,"Phase 3*",GTM_Schedule!$G$5:$G$40,"Done")</f>
        <v/>
      </c>
      <c r="K18" s="249">
        <f>IFERROR(J18/(I18+J18),0)</f>
        <v/>
      </c>
      <c r="L18" s="248">
        <f>IF(K18&gt;=0.75,"Strong",IF(K18&gt;=0.4,"Moving","Early"))</f>
        <v/>
      </c>
      <c r="M18" s="201" t="n"/>
      <c r="N18" s="248" t="inlineStr">
        <is>
          <t>Codex</t>
        </is>
      </c>
      <c r="O18" s="248">
        <f>COUNTIF(GTM_Schedule!$H$5:$H$40,N18)-COUNTIFS(GTM_Schedule!$H$5:$H$40,N18,GTM_Schedule!$G$5:$G$40,"Done")</f>
        <v/>
      </c>
      <c r="P18" s="248">
        <f>COUNTIFS(GTM_Schedule!$H$5:$H$40,N18,GTM_Schedule!$G$5:$G$40,"Done")</f>
        <v/>
      </c>
      <c r="Q18" s="249">
        <f>IFERROR(O18/SUM($O$16:$O$19),0)</f>
        <v/>
      </c>
      <c r="R18" s="248">
        <f>IF(O18=0,"Clear",IF(O18&lt;=3,"Controlled","Loaded"))</f>
        <v/>
      </c>
      <c r="S18" s="32" t="n"/>
      <c r="T18" s="32" t="n"/>
      <c r="U18" s="32" t="n"/>
      <c r="V18" s="32" t="n"/>
      <c r="W18" s="32" t="n"/>
      <c r="X18" s="32" t="n"/>
      <c r="Y18" s="32" t="n"/>
      <c r="Z18" s="32" t="n"/>
    </row>
    <row r="19" ht="12.5" customHeight="1" s="80">
      <c r="A19" s="32" t="n"/>
      <c r="B19" s="246" t="inlineStr">
        <is>
          <t>Blocked</t>
        </is>
      </c>
      <c r="C19" s="246">
        <f>COUNTIF(GTM_Schedule!$G$5:$G$40,B19)</f>
        <v/>
      </c>
      <c r="D19" s="247">
        <f>IFERROR(C19/COUNTA(GTM_Schedule!$D$5:$D$40),0)</f>
        <v/>
      </c>
      <c r="E19" s="246" t="inlineStr">
        <is>
          <t>Attention</t>
        </is>
      </c>
      <c r="F19" s="246">
        <f>REPT("|",ROUND(D19*20,0))</f>
        <v/>
      </c>
      <c r="G19" s="201" t="n"/>
      <c r="H19" s="248" t="inlineStr">
        <is>
          <t>Phase 4</t>
        </is>
      </c>
      <c r="I19" s="248">
        <f>COUNTIF(GTM_Schedule!$C$5:$C$40,"Phase 4*")-COUNTIFS(GTM_Schedule!$C$5:$C$40,"Phase 4*",GTM_Schedule!$G$5:$G$40,"Done")</f>
        <v/>
      </c>
      <c r="J19" s="248">
        <f>COUNTIFS(GTM_Schedule!$C$5:$C$40,"Phase 4*",GTM_Schedule!$G$5:$G$40,"Done")</f>
        <v/>
      </c>
      <c r="K19" s="249">
        <f>IFERROR(J19/(I19+J19),0)</f>
        <v/>
      </c>
      <c r="L19" s="248">
        <f>IF(K19&gt;=0.75,"Strong",IF(K19&gt;=0.4,"Moving","Early"))</f>
        <v/>
      </c>
      <c r="M19" s="201" t="n"/>
      <c r="N19" s="248" t="inlineStr">
        <is>
          <t>Shared</t>
        </is>
      </c>
      <c r="O19" s="248">
        <f>COUNTIF(GTM_Schedule!$H$5:$H$40,N19)-COUNTIFS(GTM_Schedule!$H$5:$H$40,N19,GTM_Schedule!$G$5:$G$40,"Done")</f>
        <v/>
      </c>
      <c r="P19" s="248">
        <f>COUNTIFS(GTM_Schedule!$H$5:$H$40,N19,GTM_Schedule!$G$5:$G$40,"Done")</f>
        <v/>
      </c>
      <c r="Q19" s="249">
        <f>IFERROR(O19/SUM($O$16:$O$19),0)</f>
        <v/>
      </c>
      <c r="R19" s="248">
        <f>IF(O19=0,"Clear",IF(O19&lt;=3,"Controlled","Loaded"))</f>
        <v/>
      </c>
      <c r="S19" s="32" t="n"/>
      <c r="T19" s="32" t="n"/>
      <c r="U19" s="32" t="n"/>
      <c r="V19" s="32" t="n"/>
      <c r="W19" s="32" t="n"/>
      <c r="X19" s="32" t="n"/>
      <c r="Y19" s="32" t="n"/>
      <c r="Z19" s="32" t="n"/>
    </row>
    <row r="20" ht="12.5" customHeight="1" s="80">
      <c r="A20" s="32" t="n"/>
      <c r="B20" s="246" t="inlineStr">
        <is>
          <t>Done</t>
        </is>
      </c>
      <c r="C20" s="246">
        <f>COUNTIF(GTM_Schedule!$G$5:$G$40,B20)</f>
        <v/>
      </c>
      <c r="D20" s="247">
        <f>IFERROR(C20/COUNTA(GTM_Schedule!$D$5:$D$40),0)</f>
        <v/>
      </c>
      <c r="E20" s="246" t="inlineStr">
        <is>
          <t>Stable</t>
        </is>
      </c>
      <c r="F20" s="246">
        <f>REPT("|",ROUND(D20*20,0))</f>
        <v/>
      </c>
      <c r="G20" s="201" t="n"/>
      <c r="H20" s="248" t="inlineStr">
        <is>
          <t>Phase 5</t>
        </is>
      </c>
      <c r="I20" s="248">
        <f>COUNTIF(GTM_Schedule!$C$5:$C$40,"Phase 5*")-COUNTIFS(GTM_Schedule!$C$5:$C$40,"Phase 5*",GTM_Schedule!$G$5:$G$40,"Done")</f>
        <v/>
      </c>
      <c r="J20" s="248">
        <f>COUNTIFS(GTM_Schedule!$C$5:$C$40,"Phase 5*",GTM_Schedule!$G$5:$G$40,"Done")</f>
        <v/>
      </c>
      <c r="K20" s="249">
        <f>IFERROR(J20/(I20+J20),0)</f>
        <v/>
      </c>
      <c r="L20" s="248">
        <f>IF(K20&gt;=0.75,"Strong",IF(K20&gt;=0.4,"Moving","Early"))</f>
        <v/>
      </c>
      <c r="M20" s="201" t="n"/>
      <c r="N20" s="201" t="n"/>
      <c r="O20" s="201" t="n"/>
      <c r="P20" s="201" t="n"/>
      <c r="Q20" s="201" t="n"/>
      <c r="R20" s="201" t="n"/>
      <c r="S20" s="32" t="n"/>
      <c r="T20" s="32" t="n"/>
      <c r="U20" s="32" t="n"/>
      <c r="V20" s="32" t="n"/>
      <c r="W20" s="32" t="n"/>
      <c r="X20" s="32" t="n"/>
      <c r="Y20" s="32" t="n"/>
      <c r="Z20" s="32" t="n"/>
    </row>
    <row r="21" ht="12.5" customHeight="1" s="80">
      <c r="A21" s="32" t="n"/>
      <c r="B21" s="201" t="n"/>
      <c r="C21" s="201" t="n"/>
      <c r="D21" s="201" t="n"/>
      <c r="E21" s="201" t="n"/>
      <c r="F21" s="201" t="n"/>
      <c r="G21" s="201" t="n"/>
      <c r="H21" s="248" t="inlineStr">
        <is>
          <t>Phase 6</t>
        </is>
      </c>
      <c r="I21" s="248">
        <f>COUNTIF(GTM_Schedule!$C$5:$C$40,"Phase 6*")-COUNTIFS(GTM_Schedule!$C$5:$C$40,"Phase 6*",GTM_Schedule!$G$5:$G$40,"Done")</f>
        <v/>
      </c>
      <c r="J21" s="248">
        <f>COUNTIFS(GTM_Schedule!$C$5:$C$40,"Phase 6*",GTM_Schedule!$G$5:$G$40,"Done")</f>
        <v/>
      </c>
      <c r="K21" s="249">
        <f>IFERROR(J21/(I21+J21),0)</f>
        <v/>
      </c>
      <c r="L21" s="248">
        <f>IF(K21&gt;=0.75,"Strong",IF(K21&gt;=0.4,"Moving","Early"))</f>
        <v/>
      </c>
      <c r="M21" s="201" t="n"/>
      <c r="N21" s="201" t="n"/>
      <c r="O21" s="201" t="n"/>
      <c r="P21" s="201" t="n"/>
      <c r="Q21" s="201" t="n"/>
      <c r="R21" s="201" t="n"/>
      <c r="S21" s="32" t="n"/>
      <c r="T21" s="32" t="n"/>
      <c r="U21" s="32" t="n"/>
      <c r="V21" s="32" t="n"/>
      <c r="W21" s="32" t="n"/>
      <c r="X21" s="32" t="n"/>
      <c r="Y21" s="32" t="n"/>
      <c r="Z21" s="32" t="n"/>
    </row>
    <row r="22" ht="12.5" customHeight="1" s="80">
      <c r="A22" s="32" t="n"/>
      <c r="B22" s="201" t="n"/>
      <c r="C22" s="201" t="n"/>
      <c r="D22" s="201" t="n"/>
      <c r="E22" s="201" t="n"/>
      <c r="F22" s="201" t="n"/>
      <c r="G22" s="201" t="n"/>
      <c r="H22" s="201" t="n"/>
      <c r="I22" s="201" t="n"/>
      <c r="J22" s="201" t="n"/>
      <c r="K22" s="201" t="n"/>
      <c r="L22" s="201" t="n"/>
      <c r="M22" s="201" t="n"/>
      <c r="N22" s="201" t="n"/>
      <c r="O22" s="201" t="n"/>
      <c r="P22" s="201" t="n"/>
      <c r="Q22" s="201" t="n"/>
      <c r="R22" s="201" t="n"/>
      <c r="S22" s="32" t="n"/>
      <c r="T22" s="32" t="n"/>
      <c r="U22" s="32" t="n"/>
      <c r="V22" s="32" t="n"/>
      <c r="W22" s="32" t="n"/>
      <c r="X22" s="32" t="n"/>
      <c r="Y22" s="32" t="n"/>
      <c r="Z22" s="32" t="n"/>
    </row>
    <row r="23" ht="30" customHeight="1" s="80">
      <c r="A23" s="32" t="n"/>
      <c r="B23" s="201" t="n"/>
      <c r="C23" s="201" t="n"/>
      <c r="D23" s="201" t="n"/>
      <c r="E23" s="201" t="n"/>
      <c r="F23" s="201" t="n"/>
      <c r="G23" s="201" t="n"/>
      <c r="H23" s="201" t="n"/>
      <c r="I23" s="201" t="n"/>
      <c r="J23" s="201" t="n"/>
      <c r="K23" s="201" t="n"/>
      <c r="L23" s="201" t="n"/>
      <c r="M23" s="201" t="n"/>
      <c r="N23" s="201" t="n"/>
      <c r="O23" s="201" t="n"/>
      <c r="P23" s="201" t="n"/>
      <c r="Q23" s="201" t="n"/>
      <c r="R23" s="201" t="n"/>
      <c r="S23" s="32" t="n"/>
      <c r="T23" s="32" t="n"/>
      <c r="U23" s="32" t="n"/>
      <c r="V23" s="32" t="n"/>
      <c r="W23" s="32" t="n"/>
      <c r="X23" s="32" t="n"/>
      <c r="Y23" s="32" t="n"/>
      <c r="Z23" s="32" t="n"/>
    </row>
    <row r="24" ht="12.5" customHeight="1" s="80">
      <c r="A24" s="32" t="n"/>
      <c r="B24" s="244" t="inlineStr">
        <is>
          <t>Priority Focus Board</t>
        </is>
      </c>
      <c r="C24" s="259" t="n"/>
      <c r="D24" s="259" t="n"/>
      <c r="E24" s="259" t="n"/>
      <c r="F24" s="259" t="n"/>
      <c r="G24" s="259" t="n"/>
      <c r="H24" s="259" t="n"/>
      <c r="I24" s="260" t="n"/>
      <c r="J24" s="201" t="n"/>
      <c r="K24" s="244" t="inlineStr">
        <is>
          <t>Blocked / Waiting Watchlist</t>
        </is>
      </c>
      <c r="L24" s="259" t="n"/>
      <c r="M24" s="259" t="n"/>
      <c r="N24" s="259" t="n"/>
      <c r="O24" s="259" t="n"/>
      <c r="P24" s="259" t="n"/>
      <c r="Q24" s="259" t="n"/>
      <c r="R24" s="260" t="n"/>
      <c r="S24" s="32" t="n"/>
      <c r="T24" s="32" t="n"/>
      <c r="U24" s="32" t="n"/>
      <c r="V24" s="32" t="n"/>
      <c r="W24" s="32" t="n"/>
      <c r="X24" s="32" t="n"/>
      <c r="Y24" s="32" t="n"/>
      <c r="Z24" s="32" t="n"/>
    </row>
    <row r="25" ht="22" customHeight="1" s="80">
      <c r="A25" s="32" t="n"/>
      <c r="B25" s="245" t="inlineStr">
        <is>
          <t>Task</t>
        </is>
      </c>
      <c r="C25" s="250" t="n"/>
      <c r="D25" s="251" t="n"/>
      <c r="E25" s="245" t="inlineStr">
        <is>
          <t>Priority</t>
        </is>
      </c>
      <c r="F25" s="251" t="n"/>
      <c r="G25" s="201" t="n"/>
      <c r="I25" s="201" t="n"/>
      <c r="J25" s="201" t="n"/>
      <c r="K25" s="245" t="inlineStr">
        <is>
          <t>Task</t>
        </is>
      </c>
      <c r="L25" s="250" t="n"/>
      <c r="M25" s="251" t="n"/>
      <c r="N25" s="245" t="inlineStr">
        <is>
          <t>Priority</t>
        </is>
      </c>
      <c r="O25" s="201" t="n"/>
      <c r="P25" s="201" t="n"/>
      <c r="R25" s="201" t="n"/>
      <c r="S25" s="32" t="n"/>
      <c r="T25" s="32" t="n"/>
      <c r="U25" s="32" t="n"/>
      <c r="V25" s="32" t="n"/>
      <c r="W25" s="32" t="n"/>
      <c r="X25" s="32" t="n"/>
      <c r="Y25" s="32" t="n"/>
      <c r="Z25" s="32" t="n"/>
    </row>
    <row r="26" ht="12.5" customHeight="1" s="80">
      <c r="A26" s="32" t="n"/>
      <c r="B26" s="248">
        <f>IFERROR(INDEX(GTM_Schedule!$D$5:$D$40,AGGREGATE(15,6,(ROW(GTM_Schedule!$D$5:$D$40)-ROW(GTM_Schedule!$D$5)+1)/((GTM_Schedule!$I$5:$I$40="High")*(GTM_Schedule!$G$5:$G$40&lt;&gt;"Done")),ROW(A26)-25)),"")</f>
        <v/>
      </c>
      <c r="C26" s="250" t="n"/>
      <c r="D26" s="251" t="n"/>
      <c r="E26" s="248">
        <f>IF(B26="","",IFERROR(INDEX(GTM_Schedule!$C$5:$C$40,AGGREGATE(15,6,(ROW(GTM_Schedule!$C$5:$C$40)-ROW(GTM_Schedule!$C$5)+1)/((GTM_Schedule!$I$5:$I$40="High")*(GTM_Schedule!$G$5:$G$40&lt;&gt;"Done")),ROW(A26)-25)),""))</f>
        <v/>
      </c>
      <c r="F26" s="251" t="n"/>
      <c r="G26" s="248">
        <f>IF(B26="","",IFERROR(INDEX(GTM_Schedule!$H$5:$H$40,AGGREGATE(15,6,(ROW(GTM_Schedule!$H$5:$H$40)-ROW(GTM_Schedule!$H$5)+1)/((GTM_Schedule!$I$5:$I$40="High")*(GTM_Schedule!$G$5:$G$40&lt;&gt;"Done")),ROW(A26)-25)),""))</f>
        <v/>
      </c>
      <c r="H26" s="251" t="n"/>
      <c r="I26" s="248">
        <f>IF(B26="","",IFERROR(INDEX(GTM_Schedule!$I$5:$I$40,AGGREGATE(15,6,(ROW(GTM_Schedule!$I$5:$I$40)-ROW(GTM_Schedule!$I$5)+1)/((GTM_Schedule!$I$5:$I$40="High")*(GTM_Schedule!$G$5:$G$40&lt;&gt;"Done")),ROW(A26)-25)),""))</f>
        <v/>
      </c>
      <c r="J26" s="201" t="n"/>
      <c r="K26" s="248">
        <f>IFERROR(INDEX(GTM_Schedule!$D$5:$D$40,AGGREGATE(15,6,(ROW(GTM_Schedule!$D$5:$D$40)-ROW(GTM_Schedule!$D$5)+1)/((GTM_Schedule!$G$5:$G$40="Blocked")+(GTM_Schedule!$G$5:$G$40="Waiting")),ROW(A26)-25)),"")</f>
        <v/>
      </c>
      <c r="L26" s="250" t="n"/>
      <c r="M26" s="251" t="n"/>
      <c r="N26" s="248">
        <f>IF(K26="","",IFERROR(INDEX(GTM_Schedule!$G$5:$G$40,AGGREGATE(15,6,(ROW(GTM_Schedule!$G$5:$G$40)-ROW(GTM_Schedule!$G$5)+1)/((GTM_Schedule!$G$5:$G$40="Blocked")+(GTM_Schedule!$G$5:$G$40="Waiting")),ROW(A26)-25)),""))</f>
        <v/>
      </c>
      <c r="O26" s="248" t="n"/>
      <c r="P26" s="248">
        <f>IF(K26="","",IFERROR(INDEX(GTM_Schedule!$H$5:$H$40,AGGREGATE(15,6,(ROW(GTM_Schedule!$H$5:$H$40)-ROW(GTM_Schedule!$H$5)+1)/((GTM_Schedule!$G$5:$G$40="Blocked")+(GTM_Schedule!$G$5:$G$40="Waiting")),ROW(A26)-25)),""))</f>
        <v/>
      </c>
      <c r="Q26" s="251" t="n"/>
      <c r="R26" s="248">
        <f>IF(K26="","",IFERROR(INDEX(GTM_Schedule!$I$5:$I$40,AGGREGATE(15,6,(ROW(GTM_Schedule!$I$5:$I$40)-ROW(GTM_Schedule!$I$5)+1)/((GTM_Schedule!$G$5:$G$40="Blocked")+(GTM_Schedule!$G$5:$G$40="Waiting")),ROW(A26)-25)),""))</f>
        <v/>
      </c>
      <c r="S26" s="32" t="n"/>
      <c r="T26" s="32" t="n"/>
      <c r="U26" s="32" t="n"/>
      <c r="V26" s="32" t="n"/>
      <c r="W26" s="32" t="n"/>
      <c r="X26" s="32" t="n"/>
      <c r="Y26" s="32" t="n"/>
      <c r="Z26" s="32" t="n"/>
    </row>
    <row r="27" ht="12.5" customHeight="1" s="80">
      <c r="A27" s="32" t="n"/>
      <c r="B27" s="248">
        <f>IFERROR(INDEX(GTM_Schedule!$D$5:$D$40,AGGREGATE(15,6,(ROW(GTM_Schedule!$D$5:$D$40)-ROW(GTM_Schedule!$D$5)+1)/((GTM_Schedule!$I$5:$I$40="High")*(GTM_Schedule!$G$5:$G$40&lt;&gt;"Done")),ROW(A27)-25)),"")</f>
        <v/>
      </c>
      <c r="C27" s="250" t="n"/>
      <c r="D27" s="251" t="n"/>
      <c r="E27" s="248">
        <f>IF(B27="","",IFERROR(INDEX(GTM_Schedule!$C$5:$C$40,AGGREGATE(15,6,(ROW(GTM_Schedule!$C$5:$C$40)-ROW(GTM_Schedule!$C$5)+1)/((GTM_Schedule!$I$5:$I$40="High")*(GTM_Schedule!$G$5:$G$40&lt;&gt;"Done")),ROW(A27)-25)),""))</f>
        <v/>
      </c>
      <c r="F27" s="251" t="n"/>
      <c r="G27" s="248">
        <f>IF(B27="","",IFERROR(INDEX(GTM_Schedule!$H$5:$H$40,AGGREGATE(15,6,(ROW(GTM_Schedule!$H$5:$H$40)-ROW(GTM_Schedule!$H$5)+1)/((GTM_Schedule!$I$5:$I$40="High")*(GTM_Schedule!$G$5:$G$40&lt;&gt;"Done")),ROW(A27)-25)),""))</f>
        <v/>
      </c>
      <c r="H27" s="251" t="n"/>
      <c r="I27" s="248">
        <f>IF(B27="","",IFERROR(INDEX(GTM_Schedule!$I$5:$I$40,AGGREGATE(15,6,(ROW(GTM_Schedule!$I$5:$I$40)-ROW(GTM_Schedule!$I$5)+1)/((GTM_Schedule!$I$5:$I$40="High")*(GTM_Schedule!$G$5:$G$40&lt;&gt;"Done")),ROW(A27)-25)),""))</f>
        <v/>
      </c>
      <c r="J27" s="201" t="n"/>
      <c r="K27" s="248">
        <f>IFERROR(INDEX(GTM_Schedule!$D$5:$D$40,AGGREGATE(15,6,(ROW(GTM_Schedule!$D$5:$D$40)-ROW(GTM_Schedule!$D$5)+1)/((GTM_Schedule!$G$5:$G$40="Blocked")+(GTM_Schedule!$G$5:$G$40="Waiting")),ROW(A27)-25)),"")</f>
        <v/>
      </c>
      <c r="L27" s="250" t="n"/>
      <c r="M27" s="251" t="n"/>
      <c r="N27" s="248">
        <f>IF(K27="","",IFERROR(INDEX(GTM_Schedule!$G$5:$G$40,AGGREGATE(15,6,(ROW(GTM_Schedule!$G$5:$G$40)-ROW(GTM_Schedule!$G$5)+1)/((GTM_Schedule!$G$5:$G$40="Blocked")+(GTM_Schedule!$G$5:$G$40="Waiting")),ROW(A27)-25)),""))</f>
        <v/>
      </c>
      <c r="O27" s="248" t="n"/>
      <c r="P27" s="248">
        <f>IF(K27="","",IFERROR(INDEX(GTM_Schedule!$H$5:$H$40,AGGREGATE(15,6,(ROW(GTM_Schedule!$H$5:$H$40)-ROW(GTM_Schedule!$H$5)+1)/((GTM_Schedule!$G$5:$G$40="Blocked")+(GTM_Schedule!$G$5:$G$40="Waiting")),ROW(A27)-25)),""))</f>
        <v/>
      </c>
      <c r="Q27" s="251" t="n"/>
      <c r="R27" s="248">
        <f>IF(K27="","",IFERROR(INDEX(GTM_Schedule!$I$5:$I$40,AGGREGATE(15,6,(ROW(GTM_Schedule!$I$5:$I$40)-ROW(GTM_Schedule!$I$5)+1)/((GTM_Schedule!$G$5:$G$40="Blocked")+(GTM_Schedule!$G$5:$G$40="Waiting")),ROW(A27)-25)),""))</f>
        <v/>
      </c>
      <c r="S27" s="32" t="n"/>
      <c r="T27" s="32" t="n"/>
      <c r="U27" s="32" t="n"/>
      <c r="V27" s="32" t="n"/>
      <c r="W27" s="32" t="n"/>
      <c r="X27" s="32" t="n"/>
      <c r="Y27" s="32" t="n"/>
      <c r="Z27" s="32" t="n"/>
    </row>
    <row r="28" ht="12.5" customHeight="1" s="80">
      <c r="A28" s="32" t="n"/>
      <c r="B28" s="248">
        <f>IFERROR(INDEX(GTM_Schedule!$D$5:$D$40,AGGREGATE(15,6,(ROW(GTM_Schedule!$D$5:$D$40)-ROW(GTM_Schedule!$D$5)+1)/((GTM_Schedule!$I$5:$I$40="High")*(GTM_Schedule!$G$5:$G$40&lt;&gt;"Done")),ROW(A28)-25)),"")</f>
        <v/>
      </c>
      <c r="C28" s="250" t="n"/>
      <c r="D28" s="251" t="n"/>
      <c r="E28" s="248">
        <f>IF(B28="","",IFERROR(INDEX(GTM_Schedule!$C$5:$C$40,AGGREGATE(15,6,(ROW(GTM_Schedule!$C$5:$C$40)-ROW(GTM_Schedule!$C$5)+1)/((GTM_Schedule!$I$5:$I$40="High")*(GTM_Schedule!$G$5:$G$40&lt;&gt;"Done")),ROW(A28)-25)),""))</f>
        <v/>
      </c>
      <c r="F28" s="251" t="n"/>
      <c r="G28" s="248">
        <f>IF(B28="","",IFERROR(INDEX(GTM_Schedule!$H$5:$H$40,AGGREGATE(15,6,(ROW(GTM_Schedule!$H$5:$H$40)-ROW(GTM_Schedule!$H$5)+1)/((GTM_Schedule!$I$5:$I$40="High")*(GTM_Schedule!$G$5:$G$40&lt;&gt;"Done")),ROW(A28)-25)),""))</f>
        <v/>
      </c>
      <c r="H28" s="251" t="n"/>
      <c r="I28" s="248">
        <f>IF(B28="","",IFERROR(INDEX(GTM_Schedule!$I$5:$I$40,AGGREGATE(15,6,(ROW(GTM_Schedule!$I$5:$I$40)-ROW(GTM_Schedule!$I$5)+1)/((GTM_Schedule!$I$5:$I$40="High")*(GTM_Schedule!$G$5:$G$40&lt;&gt;"Done")),ROW(A28)-25)),""))</f>
        <v/>
      </c>
      <c r="J28" s="201" t="n"/>
      <c r="K28" s="248">
        <f>IFERROR(INDEX(GTM_Schedule!$D$5:$D$40,AGGREGATE(15,6,(ROW(GTM_Schedule!$D$5:$D$40)-ROW(GTM_Schedule!$D$5)+1)/((GTM_Schedule!$G$5:$G$40="Blocked")+(GTM_Schedule!$G$5:$G$40="Waiting")),ROW(A28)-25)),"")</f>
        <v/>
      </c>
      <c r="L28" s="250" t="n"/>
      <c r="M28" s="251" t="n"/>
      <c r="N28" s="248">
        <f>IF(K28="","",IFERROR(INDEX(GTM_Schedule!$G$5:$G$40,AGGREGATE(15,6,(ROW(GTM_Schedule!$G$5:$G$40)-ROW(GTM_Schedule!$G$5)+1)/((GTM_Schedule!$G$5:$G$40="Blocked")+(GTM_Schedule!$G$5:$G$40="Waiting")),ROW(A28)-25)),""))</f>
        <v/>
      </c>
      <c r="O28" s="248" t="n"/>
      <c r="P28" s="248">
        <f>IF(K28="","",IFERROR(INDEX(GTM_Schedule!$H$5:$H$40,AGGREGATE(15,6,(ROW(GTM_Schedule!$H$5:$H$40)-ROW(GTM_Schedule!$H$5)+1)/((GTM_Schedule!$G$5:$G$40="Blocked")+(GTM_Schedule!$G$5:$G$40="Waiting")),ROW(A28)-25)),""))</f>
        <v/>
      </c>
      <c r="Q28" s="251" t="n"/>
      <c r="R28" s="248">
        <f>IF(K28="","",IFERROR(INDEX(GTM_Schedule!$I$5:$I$40,AGGREGATE(15,6,(ROW(GTM_Schedule!$I$5:$I$40)-ROW(GTM_Schedule!$I$5)+1)/((GTM_Schedule!$G$5:$G$40="Blocked")+(GTM_Schedule!$G$5:$G$40="Waiting")),ROW(A28)-25)),""))</f>
        <v/>
      </c>
      <c r="S28" s="32" t="n"/>
      <c r="T28" s="32" t="n"/>
      <c r="U28" s="32" t="n"/>
      <c r="V28" s="32" t="n"/>
      <c r="W28" s="32" t="n"/>
      <c r="X28" s="32" t="n"/>
      <c r="Y28" s="32" t="n"/>
      <c r="Z28" s="32" t="n"/>
    </row>
    <row r="29" ht="12.5" customHeight="1" s="80">
      <c r="A29" s="32" t="n"/>
      <c r="B29" s="248">
        <f>IFERROR(INDEX(GTM_Schedule!$D$5:$D$40,AGGREGATE(15,6,(ROW(GTM_Schedule!$D$5:$D$40)-ROW(GTM_Schedule!$D$5)+1)/((GTM_Schedule!$I$5:$I$40="High")*(GTM_Schedule!$G$5:$G$40&lt;&gt;"Done")),ROW(A29)-25)),"")</f>
        <v/>
      </c>
      <c r="C29" s="250" t="n"/>
      <c r="D29" s="251" t="n"/>
      <c r="E29" s="248">
        <f>IF(B29="","",IFERROR(INDEX(GTM_Schedule!$C$5:$C$40,AGGREGATE(15,6,(ROW(GTM_Schedule!$C$5:$C$40)-ROW(GTM_Schedule!$C$5)+1)/((GTM_Schedule!$I$5:$I$40="High")*(GTM_Schedule!$G$5:$G$40&lt;&gt;"Done")),ROW(A29)-25)),""))</f>
        <v/>
      </c>
      <c r="F29" s="251" t="n"/>
      <c r="G29" s="248">
        <f>IF(B29="","",IFERROR(INDEX(GTM_Schedule!$H$5:$H$40,AGGREGATE(15,6,(ROW(GTM_Schedule!$H$5:$H$40)-ROW(GTM_Schedule!$H$5)+1)/((GTM_Schedule!$I$5:$I$40="High")*(GTM_Schedule!$G$5:$G$40&lt;&gt;"Done")),ROW(A29)-25)),""))</f>
        <v/>
      </c>
      <c r="H29" s="251" t="n"/>
      <c r="I29" s="248">
        <f>IF(B29="","",IFERROR(INDEX(GTM_Schedule!$I$5:$I$40,AGGREGATE(15,6,(ROW(GTM_Schedule!$I$5:$I$40)-ROW(GTM_Schedule!$I$5)+1)/((GTM_Schedule!$I$5:$I$40="High")*(GTM_Schedule!$G$5:$G$40&lt;&gt;"Done")),ROW(A29)-25)),""))</f>
        <v/>
      </c>
      <c r="J29" s="201" t="n"/>
      <c r="K29" s="248">
        <f>IFERROR(INDEX(GTM_Schedule!$D$5:$D$40,AGGREGATE(15,6,(ROW(GTM_Schedule!$D$5:$D$40)-ROW(GTM_Schedule!$D$5)+1)/((GTM_Schedule!$G$5:$G$40="Blocked")+(GTM_Schedule!$G$5:$G$40="Waiting")),ROW(A29)-25)),"")</f>
        <v/>
      </c>
      <c r="L29" s="250" t="n"/>
      <c r="M29" s="251" t="n"/>
      <c r="N29" s="248">
        <f>IF(K29="","",IFERROR(INDEX(GTM_Schedule!$G$5:$G$40,AGGREGATE(15,6,(ROW(GTM_Schedule!$G$5:$G$40)-ROW(GTM_Schedule!$G$5)+1)/((GTM_Schedule!$G$5:$G$40="Blocked")+(GTM_Schedule!$G$5:$G$40="Waiting")),ROW(A29)-25)),""))</f>
        <v/>
      </c>
      <c r="O29" s="248" t="n"/>
      <c r="P29" s="248">
        <f>IF(K29="","",IFERROR(INDEX(GTM_Schedule!$H$5:$H$40,AGGREGATE(15,6,(ROW(GTM_Schedule!$H$5:$H$40)-ROW(GTM_Schedule!$H$5)+1)/((GTM_Schedule!$G$5:$G$40="Blocked")+(GTM_Schedule!$G$5:$G$40="Waiting")),ROW(A29)-25)),""))</f>
        <v/>
      </c>
      <c r="Q29" s="251" t="n"/>
      <c r="R29" s="248">
        <f>IF(K29="","",IFERROR(INDEX(GTM_Schedule!$I$5:$I$40,AGGREGATE(15,6,(ROW(GTM_Schedule!$I$5:$I$40)-ROW(GTM_Schedule!$I$5)+1)/((GTM_Schedule!$G$5:$G$40="Blocked")+(GTM_Schedule!$G$5:$G$40="Waiting")),ROW(A29)-25)),""))</f>
        <v/>
      </c>
      <c r="S29" s="32" t="n"/>
      <c r="T29" s="32" t="n"/>
      <c r="U29" s="32" t="n"/>
      <c r="V29" s="32" t="n"/>
      <c r="W29" s="32" t="n"/>
      <c r="X29" s="32" t="n"/>
      <c r="Y29" s="32" t="n"/>
      <c r="Z29" s="32" t="n"/>
    </row>
    <row r="30" ht="12.5" customHeight="1" s="80">
      <c r="A30" s="32" t="n"/>
      <c r="B30" s="248">
        <f>IFERROR(INDEX(GTM_Schedule!$D$5:$D$40,AGGREGATE(15,6,(ROW(GTM_Schedule!$D$5:$D$40)-ROW(GTM_Schedule!$D$5)+1)/((GTM_Schedule!$I$5:$I$40="High")*(GTM_Schedule!$G$5:$G$40&lt;&gt;"Done")),ROW(A30)-25)),"")</f>
        <v/>
      </c>
      <c r="C30" s="250" t="n"/>
      <c r="D30" s="251" t="n"/>
      <c r="E30" s="248">
        <f>IF(B30="","",IFERROR(INDEX(GTM_Schedule!$C$5:$C$40,AGGREGATE(15,6,(ROW(GTM_Schedule!$C$5:$C$40)-ROW(GTM_Schedule!$C$5)+1)/((GTM_Schedule!$I$5:$I$40="High")*(GTM_Schedule!$G$5:$G$40&lt;&gt;"Done")),ROW(A30)-25)),""))</f>
        <v/>
      </c>
      <c r="F30" s="251" t="n"/>
      <c r="G30" s="248">
        <f>IF(B30="","",IFERROR(INDEX(GTM_Schedule!$H$5:$H$40,AGGREGATE(15,6,(ROW(GTM_Schedule!$H$5:$H$40)-ROW(GTM_Schedule!$H$5)+1)/((GTM_Schedule!$I$5:$I$40="High")*(GTM_Schedule!$G$5:$G$40&lt;&gt;"Done")),ROW(A30)-25)),""))</f>
        <v/>
      </c>
      <c r="H30" s="251" t="n"/>
      <c r="I30" s="248">
        <f>IF(B30="","",IFERROR(INDEX(GTM_Schedule!$I$5:$I$40,AGGREGATE(15,6,(ROW(GTM_Schedule!$I$5:$I$40)-ROW(GTM_Schedule!$I$5)+1)/((GTM_Schedule!$I$5:$I$40="High")*(GTM_Schedule!$G$5:$G$40&lt;&gt;"Done")),ROW(A30)-25)),""))</f>
        <v/>
      </c>
      <c r="J30" s="201" t="n"/>
      <c r="K30" s="248">
        <f>IFERROR(INDEX(GTM_Schedule!$D$5:$D$40,AGGREGATE(15,6,(ROW(GTM_Schedule!$D$5:$D$40)-ROW(GTM_Schedule!$D$5)+1)/((GTM_Schedule!$G$5:$G$40="Blocked")+(GTM_Schedule!$G$5:$G$40="Waiting")),ROW(A30)-25)),"")</f>
        <v/>
      </c>
      <c r="L30" s="250" t="n"/>
      <c r="M30" s="251" t="n"/>
      <c r="N30" s="248">
        <f>IF(K30="","",IFERROR(INDEX(GTM_Schedule!$G$5:$G$40,AGGREGATE(15,6,(ROW(GTM_Schedule!$G$5:$G$40)-ROW(GTM_Schedule!$G$5)+1)/((GTM_Schedule!$G$5:$G$40="Blocked")+(GTM_Schedule!$G$5:$G$40="Waiting")),ROW(A30)-25)),""))</f>
        <v/>
      </c>
      <c r="O30" s="248" t="n"/>
      <c r="P30" s="248">
        <f>IF(K30="","",IFERROR(INDEX(GTM_Schedule!$H$5:$H$40,AGGREGATE(15,6,(ROW(GTM_Schedule!$H$5:$H$40)-ROW(GTM_Schedule!$H$5)+1)/((GTM_Schedule!$G$5:$G$40="Blocked")+(GTM_Schedule!$G$5:$G$40="Waiting")),ROW(A30)-25)),""))</f>
        <v/>
      </c>
      <c r="Q30" s="251" t="n"/>
      <c r="R30" s="248">
        <f>IF(K30="","",IFERROR(INDEX(GTM_Schedule!$I$5:$I$40,AGGREGATE(15,6,(ROW(GTM_Schedule!$I$5:$I$40)-ROW(GTM_Schedule!$I$5)+1)/((GTM_Schedule!$G$5:$G$40="Blocked")+(GTM_Schedule!$G$5:$G$40="Waiting")),ROW(A30)-25)),""))</f>
        <v/>
      </c>
      <c r="S30" s="32" t="n"/>
      <c r="T30" s="32" t="n"/>
      <c r="U30" s="32" t="n"/>
      <c r="V30" s="32" t="n"/>
      <c r="W30" s="32" t="n"/>
      <c r="X30" s="32" t="n"/>
      <c r="Y30" s="32" t="n"/>
      <c r="Z30" s="32" t="n"/>
    </row>
    <row r="31" ht="12.5" customHeight="1" s="80">
      <c r="A31" s="32" t="n"/>
      <c r="B31" s="248">
        <f>IFERROR(INDEX(GTM_Schedule!$D$5:$D$40,AGGREGATE(15,6,(ROW(GTM_Schedule!$D$5:$D$40)-ROW(GTM_Schedule!$D$5)+1)/((GTM_Schedule!$I$5:$I$40="High")*(GTM_Schedule!$G$5:$G$40&lt;&gt;"Done")),ROW(A31)-25)),"")</f>
        <v/>
      </c>
      <c r="C31" s="250" t="n"/>
      <c r="D31" s="251" t="n"/>
      <c r="E31" s="248">
        <f>IF(B31="","",IFERROR(INDEX(GTM_Schedule!$C$5:$C$40,AGGREGATE(15,6,(ROW(GTM_Schedule!$C$5:$C$40)-ROW(GTM_Schedule!$C$5)+1)/((GTM_Schedule!$I$5:$I$40="High")*(GTM_Schedule!$G$5:$G$40&lt;&gt;"Done")),ROW(A31)-25)),""))</f>
        <v/>
      </c>
      <c r="F31" s="251" t="n"/>
      <c r="G31" s="248">
        <f>IF(B31="","",IFERROR(INDEX(GTM_Schedule!$H$5:$H$40,AGGREGATE(15,6,(ROW(GTM_Schedule!$H$5:$H$40)-ROW(GTM_Schedule!$H$5)+1)/((GTM_Schedule!$I$5:$I$40="High")*(GTM_Schedule!$G$5:$G$40&lt;&gt;"Done")),ROW(A31)-25)),""))</f>
        <v/>
      </c>
      <c r="H31" s="251" t="n"/>
      <c r="I31" s="248">
        <f>IF(B31="","",IFERROR(INDEX(GTM_Schedule!$I$5:$I$40,AGGREGATE(15,6,(ROW(GTM_Schedule!$I$5:$I$40)-ROW(GTM_Schedule!$I$5)+1)/((GTM_Schedule!$I$5:$I$40="High")*(GTM_Schedule!$G$5:$G$40&lt;&gt;"Done")),ROW(A31)-25)),""))</f>
        <v/>
      </c>
      <c r="J31" s="201" t="n"/>
      <c r="K31" s="248">
        <f>IFERROR(INDEX(GTM_Schedule!$D$5:$D$40,AGGREGATE(15,6,(ROW(GTM_Schedule!$D$5:$D$40)-ROW(GTM_Schedule!$D$5)+1)/((GTM_Schedule!$G$5:$G$40="Blocked")+(GTM_Schedule!$G$5:$G$40="Waiting")),ROW(A31)-25)),"")</f>
        <v/>
      </c>
      <c r="L31" s="250" t="n"/>
      <c r="M31" s="251" t="n"/>
      <c r="N31" s="248">
        <f>IF(K31="","",IFERROR(INDEX(GTM_Schedule!$G$5:$G$40,AGGREGATE(15,6,(ROW(GTM_Schedule!$G$5:$G$40)-ROW(GTM_Schedule!$G$5)+1)/((GTM_Schedule!$G$5:$G$40="Blocked")+(GTM_Schedule!$G$5:$G$40="Waiting")),ROW(A31)-25)),""))</f>
        <v/>
      </c>
      <c r="O31" s="248" t="n"/>
      <c r="P31" s="248">
        <f>IF(K31="","",IFERROR(INDEX(GTM_Schedule!$H$5:$H$40,AGGREGATE(15,6,(ROW(GTM_Schedule!$H$5:$H$40)-ROW(GTM_Schedule!$H$5)+1)/((GTM_Schedule!$G$5:$G$40="Blocked")+(GTM_Schedule!$G$5:$G$40="Waiting")),ROW(A31)-25)),""))</f>
        <v/>
      </c>
      <c r="Q31" s="251" t="n"/>
      <c r="R31" s="248">
        <f>IF(K31="","",IFERROR(INDEX(GTM_Schedule!$I$5:$I$40,AGGREGATE(15,6,(ROW(GTM_Schedule!$I$5:$I$40)-ROW(GTM_Schedule!$I$5)+1)/((GTM_Schedule!$G$5:$G$40="Blocked")+(GTM_Schedule!$G$5:$G$40="Waiting")),ROW(A31)-25)),""))</f>
        <v/>
      </c>
      <c r="S31" s="32" t="n"/>
      <c r="T31" s="32" t="n"/>
      <c r="U31" s="32" t="n"/>
      <c r="V31" s="32" t="n"/>
      <c r="W31" s="32" t="n"/>
      <c r="X31" s="32" t="n"/>
      <c r="Y31" s="32" t="n"/>
      <c r="Z31" s="32" t="n"/>
    </row>
    <row r="32" ht="12.5" customHeight="1" s="80">
      <c r="A32" s="32" t="n"/>
      <c r="B32" s="248">
        <f>IFERROR(INDEX(GTM_Schedule!$D$5:$D$40,AGGREGATE(15,6,(ROW(GTM_Schedule!$D$5:$D$40)-ROW(GTM_Schedule!$D$5)+1)/((GTM_Schedule!$I$5:$I$40="High")*(GTM_Schedule!$G$5:$G$40&lt;&gt;"Done")),ROW(A32)-25)),"")</f>
        <v/>
      </c>
      <c r="C32" s="250" t="n"/>
      <c r="D32" s="251" t="n"/>
      <c r="E32" s="248">
        <f>IF(B32="","",IFERROR(INDEX(GTM_Schedule!$C$5:$C$40,AGGREGATE(15,6,(ROW(GTM_Schedule!$C$5:$C$40)-ROW(GTM_Schedule!$C$5)+1)/((GTM_Schedule!$I$5:$I$40="High")*(GTM_Schedule!$G$5:$G$40&lt;&gt;"Done")),ROW(A32)-25)),""))</f>
        <v/>
      </c>
      <c r="F32" s="251" t="n"/>
      <c r="G32" s="248">
        <f>IF(B32="","",IFERROR(INDEX(GTM_Schedule!$H$5:$H$40,AGGREGATE(15,6,(ROW(GTM_Schedule!$H$5:$H$40)-ROW(GTM_Schedule!$H$5)+1)/((GTM_Schedule!$I$5:$I$40="High")*(GTM_Schedule!$G$5:$G$40&lt;&gt;"Done")),ROW(A32)-25)),""))</f>
        <v/>
      </c>
      <c r="H32" s="251" t="n"/>
      <c r="I32" s="248">
        <f>IF(B32="","",IFERROR(INDEX(GTM_Schedule!$I$5:$I$40,AGGREGATE(15,6,(ROW(GTM_Schedule!$I$5:$I$40)-ROW(GTM_Schedule!$I$5)+1)/((GTM_Schedule!$I$5:$I$40="High")*(GTM_Schedule!$G$5:$G$40&lt;&gt;"Done")),ROW(A32)-25)),""))</f>
        <v/>
      </c>
      <c r="J32" s="201" t="n"/>
      <c r="K32" s="248">
        <f>IFERROR(INDEX(GTM_Schedule!$D$5:$D$40,AGGREGATE(15,6,(ROW(GTM_Schedule!$D$5:$D$40)-ROW(GTM_Schedule!$D$5)+1)/((GTM_Schedule!$G$5:$G$40="Blocked")+(GTM_Schedule!$G$5:$G$40="Waiting")),ROW(A32)-25)),"")</f>
        <v/>
      </c>
      <c r="L32" s="250" t="n"/>
      <c r="M32" s="251" t="n"/>
      <c r="N32" s="248">
        <f>IF(K32="","",IFERROR(INDEX(GTM_Schedule!$G$5:$G$40,AGGREGATE(15,6,(ROW(GTM_Schedule!$G$5:$G$40)-ROW(GTM_Schedule!$G$5)+1)/((GTM_Schedule!$G$5:$G$40="Blocked")+(GTM_Schedule!$G$5:$G$40="Waiting")),ROW(A32)-25)),""))</f>
        <v/>
      </c>
      <c r="O32" s="248" t="n"/>
      <c r="P32" s="248">
        <f>IF(K32="","",IFERROR(INDEX(GTM_Schedule!$H$5:$H$40,AGGREGATE(15,6,(ROW(GTM_Schedule!$H$5:$H$40)-ROW(GTM_Schedule!$H$5)+1)/((GTM_Schedule!$G$5:$G$40="Blocked")+(GTM_Schedule!$G$5:$G$40="Waiting")),ROW(A32)-25)),""))</f>
        <v/>
      </c>
      <c r="Q32" s="251" t="n"/>
      <c r="R32" s="248">
        <f>IF(K32="","",IFERROR(INDEX(GTM_Schedule!$I$5:$I$40,AGGREGATE(15,6,(ROW(GTM_Schedule!$I$5:$I$40)-ROW(GTM_Schedule!$I$5)+1)/((GTM_Schedule!$G$5:$G$40="Blocked")+(GTM_Schedule!$G$5:$G$40="Waiting")),ROW(A32)-25)),""))</f>
        <v/>
      </c>
      <c r="S32" s="32" t="n"/>
      <c r="T32" s="32" t="n"/>
      <c r="U32" s="32" t="n"/>
      <c r="V32" s="32" t="n"/>
      <c r="W32" s="32" t="n"/>
      <c r="X32" s="32" t="n"/>
      <c r="Y32" s="32" t="n"/>
      <c r="Z32" s="32" t="n"/>
    </row>
    <row r="33" ht="12.5" customHeight="1" s="80">
      <c r="A33" s="32" t="n"/>
      <c r="B33" s="248">
        <f>IFERROR(INDEX(GTM_Schedule!$D$5:$D$40,AGGREGATE(15,6,(ROW(GTM_Schedule!$D$5:$D$40)-ROW(GTM_Schedule!$D$5)+1)/((GTM_Schedule!$I$5:$I$40="High")*(GTM_Schedule!$G$5:$G$40&lt;&gt;"Done")),ROW(A33)-25)),"")</f>
        <v/>
      </c>
      <c r="C33" s="250" t="n"/>
      <c r="D33" s="251" t="n"/>
      <c r="E33" s="248">
        <f>IF(B33="","",IFERROR(INDEX(GTM_Schedule!$C$5:$C$40,AGGREGATE(15,6,(ROW(GTM_Schedule!$C$5:$C$40)-ROW(GTM_Schedule!$C$5)+1)/((GTM_Schedule!$I$5:$I$40="High")*(GTM_Schedule!$G$5:$G$40&lt;&gt;"Done")),ROW(A33)-25)),""))</f>
        <v/>
      </c>
      <c r="F33" s="251" t="n"/>
      <c r="G33" s="248">
        <f>IF(B33="","",IFERROR(INDEX(GTM_Schedule!$H$5:$H$40,AGGREGATE(15,6,(ROW(GTM_Schedule!$H$5:$H$40)-ROW(GTM_Schedule!$H$5)+1)/((GTM_Schedule!$I$5:$I$40="High")*(GTM_Schedule!$G$5:$G$40&lt;&gt;"Done")),ROW(A33)-25)),""))</f>
        <v/>
      </c>
      <c r="H33" s="251" t="n"/>
      <c r="I33" s="248">
        <f>IF(B33="","",IFERROR(INDEX(GTM_Schedule!$I$5:$I$40,AGGREGATE(15,6,(ROW(GTM_Schedule!$I$5:$I$40)-ROW(GTM_Schedule!$I$5)+1)/((GTM_Schedule!$I$5:$I$40="High")*(GTM_Schedule!$G$5:$G$40&lt;&gt;"Done")),ROW(A33)-25)),""))</f>
        <v/>
      </c>
      <c r="J33" s="201" t="n"/>
      <c r="K33" s="248">
        <f>IFERROR(INDEX(GTM_Schedule!$D$5:$D$40,AGGREGATE(15,6,(ROW(GTM_Schedule!$D$5:$D$40)-ROW(GTM_Schedule!$D$5)+1)/((GTM_Schedule!$G$5:$G$40="Blocked")+(GTM_Schedule!$G$5:$G$40="Waiting")),ROW(A33)-25)),"")</f>
        <v/>
      </c>
      <c r="L33" s="250" t="n"/>
      <c r="M33" s="251" t="n"/>
      <c r="N33" s="248">
        <f>IF(K33="","",IFERROR(INDEX(GTM_Schedule!$G$5:$G$40,AGGREGATE(15,6,(ROW(GTM_Schedule!$G$5:$G$40)-ROW(GTM_Schedule!$G$5)+1)/((GTM_Schedule!$G$5:$G$40="Blocked")+(GTM_Schedule!$G$5:$G$40="Waiting")),ROW(A33)-25)),""))</f>
        <v/>
      </c>
      <c r="O33" s="248" t="n"/>
      <c r="P33" s="248">
        <f>IF(K33="","",IFERROR(INDEX(GTM_Schedule!$H$5:$H$40,AGGREGATE(15,6,(ROW(GTM_Schedule!$H$5:$H$40)-ROW(GTM_Schedule!$H$5)+1)/((GTM_Schedule!$G$5:$G$40="Blocked")+(GTM_Schedule!$G$5:$G$40="Waiting")),ROW(A33)-25)),""))</f>
        <v/>
      </c>
      <c r="Q33" s="251" t="n"/>
      <c r="R33" s="248">
        <f>IF(K33="","",IFERROR(INDEX(GTM_Schedule!$I$5:$I$40,AGGREGATE(15,6,(ROW(GTM_Schedule!$I$5:$I$40)-ROW(GTM_Schedule!$I$5)+1)/((GTM_Schedule!$G$5:$G$40="Blocked")+(GTM_Schedule!$G$5:$G$40="Waiting")),ROW(A33)-25)),""))</f>
        <v/>
      </c>
      <c r="S33" s="32" t="n"/>
      <c r="T33" s="32" t="n"/>
      <c r="U33" s="32" t="n"/>
      <c r="V33" s="32" t="n"/>
      <c r="W33" s="32" t="n"/>
      <c r="X33" s="32" t="n"/>
      <c r="Y33" s="32" t="n"/>
      <c r="Z33" s="32" t="n"/>
    </row>
    <row r="34" ht="12.5" customHeight="1" s="80">
      <c r="A34" s="32" t="n"/>
      <c r="B34" s="201" t="n"/>
      <c r="C34" s="201" t="n"/>
      <c r="D34" s="201" t="n"/>
      <c r="E34" s="201" t="n"/>
      <c r="F34" s="201" t="n"/>
      <c r="G34" s="201" t="n"/>
      <c r="H34" s="201" t="n"/>
      <c r="I34" s="201" t="n"/>
      <c r="J34" s="201" t="n"/>
      <c r="K34" s="201" t="n"/>
      <c r="L34" s="201" t="n"/>
      <c r="M34" s="201" t="n"/>
      <c r="N34" s="201" t="n"/>
      <c r="O34" s="201" t="n"/>
      <c r="P34" s="201" t="n"/>
      <c r="Q34" s="201" t="n"/>
      <c r="R34" s="201" t="n"/>
      <c r="S34" s="32" t="n"/>
      <c r="T34" s="32" t="n"/>
      <c r="U34" s="32" t="n"/>
      <c r="V34" s="32" t="n"/>
      <c r="W34" s="32" t="n"/>
      <c r="X34" s="32" t="n"/>
      <c r="Y34" s="32" t="n"/>
      <c r="Z34" s="32" t="n"/>
    </row>
    <row r="35" ht="12.5" customHeight="1" s="80">
      <c r="A35" s="32" t="n"/>
      <c r="B35" s="201" t="n"/>
      <c r="C35" s="201" t="n"/>
      <c r="D35" s="201" t="n"/>
      <c r="E35" s="201" t="n"/>
      <c r="F35" s="201" t="n"/>
      <c r="G35" s="201" t="n"/>
      <c r="H35" s="201" t="n"/>
      <c r="I35" s="201" t="n"/>
      <c r="J35" s="201" t="n"/>
      <c r="K35" s="201" t="n"/>
      <c r="L35" s="201" t="n"/>
      <c r="M35" s="201" t="n"/>
      <c r="N35" s="201" t="n"/>
      <c r="O35" s="201" t="n"/>
      <c r="P35" s="201" t="n"/>
      <c r="Q35" s="201" t="n"/>
      <c r="R35" s="201" t="n"/>
      <c r="S35" s="32" t="n"/>
      <c r="T35" s="32" t="n"/>
      <c r="U35" s="32" t="n"/>
      <c r="V35" s="32" t="n"/>
      <c r="W35" s="32" t="n"/>
      <c r="X35" s="32" t="n"/>
      <c r="Y35" s="32" t="n"/>
      <c r="Z35" s="32" t="n"/>
    </row>
    <row r="36" ht="12.5" customHeight="1" s="80">
      <c r="A36" s="32" t="n"/>
      <c r="B36" s="201" t="n"/>
      <c r="C36" s="201" t="n"/>
      <c r="D36" s="201" t="n"/>
      <c r="E36" s="201" t="n"/>
      <c r="F36" s="201" t="n"/>
      <c r="G36" s="201" t="n"/>
      <c r="H36" s="201" t="n"/>
      <c r="I36" s="201" t="n"/>
      <c r="J36" s="201" t="n"/>
      <c r="K36" s="201" t="n"/>
      <c r="L36" s="201" t="n"/>
      <c r="M36" s="201" t="n"/>
      <c r="N36" s="201" t="n"/>
      <c r="O36" s="201" t="n"/>
      <c r="P36" s="201" t="n"/>
      <c r="Q36" s="201" t="n"/>
      <c r="R36" s="201" t="n"/>
      <c r="S36" s="32" t="n"/>
      <c r="T36" s="32" t="n"/>
      <c r="U36" s="32" t="n"/>
      <c r="V36" s="32" t="n"/>
      <c r="W36" s="32" t="n"/>
      <c r="X36" s="32" t="n"/>
      <c r="Y36" s="32" t="n"/>
      <c r="Z36" s="32" t="n"/>
    </row>
    <row r="37" ht="12.5" customHeight="1" s="80">
      <c r="A37" s="32" t="n"/>
      <c r="B37" s="201" t="n"/>
      <c r="C37" s="201" t="n"/>
      <c r="D37" s="201" t="n"/>
      <c r="E37" s="201" t="n"/>
      <c r="F37" s="201" t="n"/>
      <c r="G37" s="201" t="n"/>
      <c r="H37" s="201" t="n"/>
      <c r="I37" s="201" t="n"/>
      <c r="J37" s="201" t="n"/>
      <c r="K37" s="201" t="n"/>
      <c r="L37" s="201" t="n"/>
      <c r="M37" s="201" t="n"/>
      <c r="N37" s="201" t="n"/>
      <c r="O37" s="201" t="n"/>
      <c r="P37" s="201" t="n"/>
      <c r="Q37" s="201" t="n"/>
      <c r="R37" s="201" t="n"/>
      <c r="S37" s="32" t="n"/>
      <c r="T37" s="32" t="n"/>
      <c r="U37" s="32" t="n"/>
      <c r="V37" s="32" t="n"/>
      <c r="W37" s="32" t="n"/>
      <c r="X37" s="32" t="n"/>
      <c r="Y37" s="32" t="n"/>
      <c r="Z37" s="32" t="n"/>
    </row>
    <row r="38" ht="12.5" customHeight="1" s="80">
      <c r="A38" s="32" t="n"/>
      <c r="B38" s="201" t="n"/>
      <c r="C38" s="201" t="n"/>
      <c r="D38" s="201" t="n"/>
      <c r="E38" s="201" t="n"/>
      <c r="F38" s="201" t="n"/>
      <c r="G38" s="201" t="n"/>
      <c r="H38" s="201" t="n"/>
      <c r="I38" s="201" t="n"/>
      <c r="J38" s="201" t="n"/>
      <c r="K38" s="201" t="n"/>
      <c r="L38" s="201" t="n"/>
      <c r="M38" s="201" t="n"/>
      <c r="N38" s="201" t="n"/>
      <c r="O38" s="201" t="n"/>
      <c r="P38" s="201" t="n"/>
      <c r="Q38" s="201" t="n"/>
      <c r="R38" s="201" t="n"/>
      <c r="S38" s="32" t="n"/>
      <c r="T38" s="32" t="n"/>
      <c r="U38" s="32" t="n"/>
      <c r="V38" s="32" t="n"/>
      <c r="W38" s="32" t="n"/>
      <c r="X38" s="32" t="n"/>
      <c r="Y38" s="32" t="n"/>
      <c r="Z38" s="32" t="n"/>
    </row>
    <row r="39" ht="12.5" customHeight="1" s="80">
      <c r="A39" s="32" t="n"/>
      <c r="B39" s="201" t="n"/>
      <c r="C39" s="201" t="n"/>
      <c r="D39" s="201" t="n"/>
      <c r="E39" s="201" t="n"/>
      <c r="F39" s="201" t="n"/>
      <c r="G39" s="201" t="n"/>
      <c r="H39" s="201" t="n"/>
      <c r="I39" s="201" t="n"/>
      <c r="J39" s="201" t="n"/>
      <c r="K39" s="201" t="n"/>
      <c r="L39" s="201" t="n"/>
      <c r="M39" s="201" t="n"/>
      <c r="N39" s="201" t="n"/>
      <c r="O39" s="201" t="n"/>
      <c r="P39" s="201" t="n"/>
      <c r="Q39" s="201" t="n"/>
      <c r="R39" s="201" t="n"/>
      <c r="S39" s="32" t="n"/>
      <c r="T39" s="32" t="n"/>
      <c r="U39" s="32" t="n"/>
      <c r="V39" s="32" t="n"/>
      <c r="W39" s="32" t="n"/>
      <c r="X39" s="32" t="n"/>
      <c r="Y39" s="32" t="n"/>
      <c r="Z39" s="32" t="n"/>
    </row>
    <row r="40" ht="12.5" customHeight="1" s="80">
      <c r="A40" s="32" t="n"/>
      <c r="B40" s="201" t="n"/>
      <c r="C40" s="201" t="n"/>
      <c r="D40" s="201" t="n"/>
      <c r="E40" s="201" t="n"/>
      <c r="F40" s="201" t="n"/>
      <c r="G40" s="201" t="n"/>
      <c r="H40" s="201" t="n"/>
      <c r="I40" s="201" t="n"/>
      <c r="J40" s="201" t="n"/>
      <c r="K40" s="201" t="n"/>
      <c r="L40" s="201" t="n"/>
      <c r="M40" s="201" t="n"/>
      <c r="N40" s="201" t="n"/>
      <c r="O40" s="201" t="n"/>
      <c r="P40" s="201" t="n"/>
      <c r="Q40" s="201" t="n"/>
      <c r="R40" s="201" t="n"/>
      <c r="S40" s="32" t="n"/>
      <c r="T40" s="32" t="n"/>
      <c r="U40" s="32" t="n"/>
      <c r="V40" s="32" t="n"/>
      <c r="W40" s="32" t="n"/>
      <c r="X40" s="32" t="n"/>
      <c r="Y40" s="32" t="n"/>
      <c r="Z40" s="32" t="n"/>
    </row>
    <row r="41" ht="12.5" customHeight="1" s="80">
      <c r="A41" s="32" t="n"/>
      <c r="B41" s="201" t="n"/>
      <c r="C41" s="201" t="n"/>
      <c r="D41" s="201" t="n"/>
      <c r="E41" s="201" t="n"/>
      <c r="F41" s="201" t="n"/>
      <c r="G41" s="201" t="n"/>
      <c r="H41" s="201" t="n"/>
      <c r="I41" s="201" t="n"/>
      <c r="J41" s="201" t="n"/>
      <c r="K41" s="201" t="n"/>
      <c r="L41" s="201" t="n"/>
      <c r="M41" s="201" t="n"/>
      <c r="N41" s="201" t="n"/>
      <c r="O41" s="201" t="n"/>
      <c r="P41" s="201" t="n"/>
      <c r="Q41" s="201" t="n"/>
      <c r="R41" s="201" t="n"/>
      <c r="S41" s="32" t="n"/>
      <c r="T41" s="32" t="n"/>
      <c r="U41" s="32" t="n"/>
      <c r="V41" s="32" t="n"/>
      <c r="W41" s="32" t="n"/>
      <c r="X41" s="32" t="n"/>
      <c r="Y41" s="32" t="n"/>
      <c r="Z41" s="32" t="n"/>
    </row>
    <row r="42" ht="12.5" customHeight="1" s="80">
      <c r="A42" s="32" t="n"/>
      <c r="B42" s="201" t="n"/>
      <c r="C42" s="201" t="n"/>
      <c r="D42" s="201" t="n"/>
      <c r="E42" s="201" t="n"/>
      <c r="F42" s="201" t="n"/>
      <c r="G42" s="201" t="n"/>
      <c r="H42" s="201" t="n"/>
      <c r="I42" s="201" t="n"/>
      <c r="J42" s="201" t="n"/>
      <c r="K42" s="201" t="n"/>
      <c r="L42" s="201" t="n"/>
      <c r="M42" s="201" t="n"/>
      <c r="N42" s="201" t="n"/>
      <c r="O42" s="201" t="n"/>
      <c r="P42" s="201" t="n"/>
      <c r="Q42" s="201" t="n"/>
      <c r="R42" s="201" t="n"/>
      <c r="S42" s="32" t="n"/>
      <c r="T42" s="32" t="n"/>
      <c r="U42" s="32" t="n"/>
      <c r="V42" s="32" t="n"/>
      <c r="W42" s="32" t="n"/>
      <c r="X42" s="32" t="n"/>
      <c r="Y42" s="32" t="n"/>
      <c r="Z42" s="32" t="n"/>
    </row>
    <row r="43" ht="12.5" customHeight="1" s="80">
      <c r="A43" s="32" t="n"/>
      <c r="B43" s="201" t="n"/>
      <c r="C43" s="201" t="n"/>
      <c r="D43" s="201" t="n"/>
      <c r="E43" s="201" t="n"/>
      <c r="F43" s="201" t="n"/>
      <c r="G43" s="201" t="n"/>
      <c r="H43" s="201" t="n"/>
      <c r="I43" s="201" t="n"/>
      <c r="J43" s="201" t="n"/>
      <c r="K43" s="201" t="n"/>
      <c r="L43" s="201" t="n"/>
      <c r="M43" s="201" t="n"/>
      <c r="N43" s="201" t="n"/>
      <c r="O43" s="201" t="n"/>
      <c r="P43" s="201" t="n"/>
      <c r="Q43" s="201" t="n"/>
      <c r="R43" s="201" t="n"/>
      <c r="S43" s="32" t="n"/>
      <c r="T43" s="32" t="n"/>
      <c r="U43" s="32" t="n"/>
      <c r="V43" s="32" t="n"/>
      <c r="W43" s="32" t="n"/>
      <c r="X43" s="32" t="n"/>
      <c r="Y43" s="32" t="n"/>
      <c r="Z43" s="32" t="n"/>
    </row>
    <row r="44" ht="12.5" customHeight="1" s="80">
      <c r="A44" s="32" t="n"/>
      <c r="B44" s="201" t="n"/>
      <c r="C44" s="201" t="n"/>
      <c r="D44" s="201" t="n"/>
      <c r="E44" s="201" t="n"/>
      <c r="F44" s="201" t="n"/>
      <c r="G44" s="201" t="n"/>
      <c r="H44" s="201" t="n"/>
      <c r="I44" s="201" t="n"/>
      <c r="J44" s="201" t="n"/>
      <c r="K44" s="201" t="n"/>
      <c r="L44" s="201" t="n"/>
      <c r="M44" s="201" t="n"/>
      <c r="N44" s="201" t="n"/>
      <c r="O44" s="201" t="n"/>
      <c r="P44" s="201" t="n"/>
      <c r="Q44" s="201" t="n"/>
      <c r="R44" s="201" t="n"/>
      <c r="S44" s="32" t="n"/>
      <c r="T44" s="32" t="n"/>
      <c r="U44" s="32" t="n"/>
      <c r="V44" s="32" t="n"/>
      <c r="W44" s="32" t="n"/>
      <c r="X44" s="32" t="n"/>
      <c r="Y44" s="32" t="n"/>
      <c r="Z44" s="32" t="n"/>
    </row>
    <row r="45" ht="12.5" customHeight="1" s="80">
      <c r="A45" s="32" t="n"/>
      <c r="B45" s="201" t="n"/>
      <c r="C45" s="201" t="n"/>
      <c r="D45" s="201" t="n"/>
      <c r="E45" s="201" t="n"/>
      <c r="F45" s="201" t="n"/>
      <c r="G45" s="201" t="n"/>
      <c r="H45" s="201" t="n"/>
      <c r="I45" s="201" t="n"/>
      <c r="J45" s="201" t="n"/>
      <c r="K45" s="201" t="n"/>
      <c r="L45" s="201" t="n"/>
      <c r="M45" s="201" t="n"/>
      <c r="N45" s="201" t="n"/>
      <c r="O45" s="201" t="n"/>
      <c r="P45" s="201" t="n"/>
      <c r="Q45" s="201" t="n"/>
      <c r="R45" s="201" t="n"/>
      <c r="S45" s="32" t="n"/>
      <c r="T45" s="32" t="n"/>
      <c r="U45" s="32" t="n"/>
      <c r="V45" s="32" t="n"/>
      <c r="W45" s="32" t="n"/>
      <c r="X45" s="32" t="n"/>
      <c r="Y45" s="32" t="n"/>
      <c r="Z45" s="32" t="n"/>
    </row>
    <row r="46" ht="12.5" customHeight="1" s="80">
      <c r="A46" s="32" t="n"/>
      <c r="B46" s="201" t="n"/>
      <c r="C46" s="201" t="n"/>
      <c r="D46" s="201" t="n"/>
      <c r="E46" s="201" t="n"/>
      <c r="F46" s="201" t="n"/>
      <c r="G46" s="201" t="n"/>
      <c r="H46" s="201" t="n"/>
      <c r="I46" s="201" t="n"/>
      <c r="J46" s="201" t="n"/>
      <c r="K46" s="201" t="n"/>
      <c r="L46" s="201" t="n"/>
      <c r="M46" s="201" t="n"/>
      <c r="N46" s="201" t="n"/>
      <c r="O46" s="201" t="n"/>
      <c r="P46" s="201" t="n"/>
      <c r="Q46" s="201" t="n"/>
      <c r="R46" s="201" t="n"/>
      <c r="S46" s="32" t="n"/>
      <c r="T46" s="32" t="n"/>
      <c r="U46" s="32" t="n"/>
      <c r="V46" s="32" t="n"/>
      <c r="W46" s="32" t="n"/>
      <c r="X46" s="32" t="n"/>
      <c r="Y46" s="32" t="n"/>
      <c r="Z46" s="32" t="n"/>
    </row>
    <row r="47" ht="12.5" customHeight="1" s="80">
      <c r="A47" s="32" t="n"/>
      <c r="B47" s="201" t="n"/>
      <c r="C47" s="201" t="n"/>
      <c r="D47" s="201" t="n"/>
      <c r="E47" s="201" t="n"/>
      <c r="F47" s="201" t="n"/>
      <c r="G47" s="201" t="n"/>
      <c r="H47" s="201" t="n"/>
      <c r="I47" s="201" t="n"/>
      <c r="J47" s="201" t="n"/>
      <c r="K47" s="201" t="n"/>
      <c r="L47" s="201" t="n"/>
      <c r="M47" s="201" t="n"/>
      <c r="N47" s="201" t="n"/>
      <c r="O47" s="201" t="n"/>
      <c r="P47" s="201" t="n"/>
      <c r="Q47" s="201" t="n"/>
      <c r="R47" s="201" t="n"/>
      <c r="S47" s="32" t="n"/>
      <c r="T47" s="32" t="n"/>
      <c r="U47" s="32" t="n"/>
      <c r="V47" s="32" t="n"/>
      <c r="W47" s="32" t="n"/>
      <c r="X47" s="32" t="n"/>
      <c r="Y47" s="32" t="n"/>
      <c r="Z47" s="32" t="n"/>
    </row>
    <row r="48" ht="12.5" customHeight="1" s="80">
      <c r="A48" s="32" t="n"/>
      <c r="B48" s="201" t="n"/>
      <c r="C48" s="201" t="n"/>
      <c r="D48" s="201" t="n"/>
      <c r="E48" s="201" t="n"/>
      <c r="F48" s="201" t="n"/>
      <c r="G48" s="201" t="n"/>
      <c r="H48" s="201" t="n"/>
      <c r="I48" s="201" t="n"/>
      <c r="J48" s="201" t="n"/>
      <c r="K48" s="201" t="n"/>
      <c r="L48" s="201" t="n"/>
      <c r="M48" s="201" t="n"/>
      <c r="N48" s="201" t="n"/>
      <c r="O48" s="201" t="n"/>
      <c r="P48" s="201" t="n"/>
      <c r="Q48" s="201" t="n"/>
      <c r="R48" s="201" t="n"/>
      <c r="S48" s="32" t="n"/>
      <c r="T48" s="32" t="n"/>
      <c r="U48" s="32" t="n"/>
      <c r="V48" s="32" t="n"/>
      <c r="W48" s="32" t="n"/>
      <c r="X48" s="32" t="n"/>
      <c r="Y48" s="32" t="n"/>
      <c r="Z48" s="32" t="n"/>
    </row>
    <row r="49" ht="12.5" customHeight="1" s="80">
      <c r="A49" s="32" t="n"/>
      <c r="B49" s="201" t="n"/>
      <c r="C49" s="201" t="n"/>
      <c r="D49" s="201" t="n"/>
      <c r="E49" s="201" t="n"/>
      <c r="F49" s="201" t="n"/>
      <c r="G49" s="201" t="n"/>
      <c r="H49" s="201" t="n"/>
      <c r="I49" s="201" t="n"/>
      <c r="J49" s="201" t="n"/>
      <c r="K49" s="201" t="n"/>
      <c r="L49" s="201" t="n"/>
      <c r="M49" s="201" t="n"/>
      <c r="N49" s="201" t="n"/>
      <c r="O49" s="201" t="n"/>
      <c r="P49" s="201" t="n"/>
      <c r="Q49" s="201" t="n"/>
      <c r="R49" s="201" t="n"/>
      <c r="S49" s="32" t="n"/>
      <c r="T49" s="32" t="n"/>
      <c r="U49" s="32" t="n"/>
      <c r="V49" s="32" t="n"/>
      <c r="W49" s="32" t="n"/>
      <c r="X49" s="32" t="n"/>
      <c r="Y49" s="32" t="n"/>
      <c r="Z49" s="32" t="n"/>
    </row>
    <row r="50" ht="12.5" customHeight="1" s="80">
      <c r="A50" s="32" t="n"/>
      <c r="B50" s="201" t="n"/>
      <c r="C50" s="201" t="n"/>
      <c r="D50" s="201" t="n"/>
      <c r="E50" s="201" t="n"/>
      <c r="F50" s="201" t="n"/>
      <c r="G50" s="201" t="n"/>
      <c r="H50" s="201" t="n"/>
      <c r="I50" s="201" t="n"/>
      <c r="J50" s="201" t="n"/>
      <c r="K50" s="201" t="n"/>
      <c r="L50" s="201" t="n"/>
      <c r="M50" s="201" t="n"/>
      <c r="N50" s="201" t="n"/>
      <c r="O50" s="201" t="n"/>
      <c r="P50" s="201" t="n"/>
      <c r="Q50" s="201" t="n"/>
      <c r="R50" s="201" t="n"/>
      <c r="S50" s="32" t="n"/>
      <c r="T50" s="32" t="n"/>
      <c r="U50" s="32" t="n"/>
      <c r="V50" s="32" t="n"/>
      <c r="W50" s="32" t="n"/>
      <c r="X50" s="32" t="n"/>
      <c r="Y50" s="32" t="n"/>
      <c r="Z50" s="32" t="n"/>
    </row>
    <row r="51" ht="12.5" customHeight="1" s="80">
      <c r="A51" s="32" t="n"/>
      <c r="B51" s="201" t="n"/>
      <c r="C51" s="201" t="n"/>
      <c r="D51" s="201" t="n"/>
      <c r="E51" s="201" t="n"/>
      <c r="F51" s="201" t="n"/>
      <c r="G51" s="201" t="n"/>
      <c r="H51" s="201" t="n"/>
      <c r="I51" s="201" t="n"/>
      <c r="J51" s="201" t="n"/>
      <c r="K51" s="201" t="n"/>
      <c r="L51" s="201" t="n"/>
      <c r="M51" s="201" t="n"/>
      <c r="N51" s="201" t="n"/>
      <c r="O51" s="201" t="n"/>
      <c r="P51" s="201" t="n"/>
      <c r="Q51" s="201" t="n"/>
      <c r="R51" s="201" t="n"/>
      <c r="S51" s="32" t="n"/>
      <c r="T51" s="32" t="n"/>
      <c r="U51" s="32" t="n"/>
      <c r="V51" s="32" t="n"/>
      <c r="W51" s="32" t="n"/>
      <c r="X51" s="32" t="n"/>
      <c r="Y51" s="32" t="n"/>
      <c r="Z51" s="32" t="n"/>
    </row>
    <row r="52" ht="12.5" customHeight="1" s="80">
      <c r="A52" s="32" t="n"/>
      <c r="B52" s="201" t="n"/>
      <c r="C52" s="201" t="n"/>
      <c r="D52" s="201" t="n"/>
      <c r="E52" s="201" t="n"/>
      <c r="F52" s="201" t="n"/>
      <c r="G52" s="201" t="n"/>
      <c r="H52" s="201" t="n"/>
      <c r="I52" s="201" t="n"/>
      <c r="J52" s="201" t="n"/>
      <c r="K52" s="201" t="n"/>
      <c r="L52" s="201" t="n"/>
      <c r="M52" s="201" t="n"/>
      <c r="N52" s="201" t="n"/>
      <c r="O52" s="201" t="n"/>
      <c r="P52" s="201" t="n"/>
      <c r="Q52" s="201" t="n"/>
      <c r="R52" s="201" t="n"/>
      <c r="S52" s="32" t="n"/>
      <c r="T52" s="32" t="n"/>
      <c r="U52" s="32" t="n"/>
      <c r="V52" s="32" t="n"/>
      <c r="W52" s="32" t="n"/>
      <c r="X52" s="32" t="n"/>
      <c r="Y52" s="32" t="n"/>
      <c r="Z52" s="32" t="n"/>
    </row>
    <row r="53" ht="12.5" customHeight="1" s="80">
      <c r="A53" s="32" t="n"/>
      <c r="B53" s="201" t="n"/>
      <c r="C53" s="201" t="n"/>
      <c r="D53" s="201" t="n"/>
      <c r="E53" s="201" t="n"/>
      <c r="F53" s="201" t="n"/>
      <c r="G53" s="201" t="n"/>
      <c r="H53" s="201" t="n"/>
      <c r="I53" s="201" t="n"/>
      <c r="J53" s="201" t="n"/>
      <c r="K53" s="201" t="n"/>
      <c r="L53" s="201" t="n"/>
      <c r="M53" s="201" t="n"/>
      <c r="N53" s="201" t="n"/>
      <c r="O53" s="201" t="n"/>
      <c r="P53" s="201" t="n"/>
      <c r="Q53" s="201" t="n"/>
      <c r="R53" s="201" t="n"/>
      <c r="S53" s="32" t="n"/>
      <c r="T53" s="32" t="n"/>
      <c r="U53" s="32" t="n"/>
      <c r="V53" s="32" t="n"/>
      <c r="W53" s="32" t="n"/>
      <c r="X53" s="32" t="n"/>
      <c r="Y53" s="32" t="n"/>
      <c r="Z53" s="32" t="n"/>
    </row>
    <row r="54" ht="12.5" customHeight="1" s="80">
      <c r="A54" s="32" t="n"/>
      <c r="B54" s="201" t="n"/>
      <c r="C54" s="201" t="n"/>
      <c r="D54" s="201" t="n"/>
      <c r="E54" s="201" t="n"/>
      <c r="F54" s="201" t="n"/>
      <c r="G54" s="201" t="n"/>
      <c r="H54" s="201" t="n"/>
      <c r="I54" s="201" t="n"/>
      <c r="J54" s="201" t="n"/>
      <c r="K54" s="201" t="n"/>
      <c r="L54" s="201" t="n"/>
      <c r="M54" s="201" t="n"/>
      <c r="N54" s="201" t="n"/>
      <c r="O54" s="201" t="n"/>
      <c r="P54" s="201" t="n"/>
      <c r="Q54" s="201" t="n"/>
      <c r="R54" s="201" t="n"/>
      <c r="S54" s="32" t="n"/>
      <c r="T54" s="32" t="n"/>
      <c r="U54" s="32" t="n"/>
      <c r="V54" s="32" t="n"/>
      <c r="W54" s="32" t="n"/>
      <c r="X54" s="32" t="n"/>
      <c r="Y54" s="32" t="n"/>
      <c r="Z54" s="32" t="n"/>
    </row>
    <row r="55" ht="12.5" customHeight="1" s="80">
      <c r="A55" s="32" t="n"/>
      <c r="B55" s="201" t="n"/>
      <c r="C55" s="201" t="n"/>
      <c r="D55" s="201" t="n"/>
      <c r="E55" s="201" t="n"/>
      <c r="F55" s="201" t="n"/>
      <c r="G55" s="201" t="n"/>
      <c r="H55" s="201" t="n"/>
      <c r="I55" s="201" t="n"/>
      <c r="J55" s="201" t="n"/>
      <c r="K55" s="201" t="n"/>
      <c r="L55" s="201" t="n"/>
      <c r="M55" s="201" t="n"/>
      <c r="N55" s="201" t="n"/>
      <c r="O55" s="201" t="n"/>
      <c r="P55" s="201" t="n"/>
      <c r="Q55" s="201" t="n"/>
      <c r="R55" s="201" t="n"/>
      <c r="S55" s="32" t="n"/>
      <c r="T55" s="32" t="n"/>
      <c r="U55" s="32" t="n"/>
      <c r="V55" s="32" t="n"/>
      <c r="W55" s="32" t="n"/>
      <c r="X55" s="32" t="n"/>
      <c r="Y55" s="32" t="n"/>
      <c r="Z55" s="32" t="n"/>
    </row>
    <row r="56" ht="12.5" customHeight="1" s="80">
      <c r="A56" s="32" t="n"/>
      <c r="B56" s="201" t="n"/>
      <c r="C56" s="201" t="n"/>
      <c r="D56" s="201" t="n"/>
      <c r="E56" s="201" t="n"/>
      <c r="F56" s="201" t="n"/>
      <c r="G56" s="201" t="n"/>
      <c r="H56" s="201" t="n"/>
      <c r="I56" s="201" t="n"/>
      <c r="J56" s="201" t="n"/>
      <c r="K56" s="201" t="n"/>
      <c r="L56" s="201" t="n"/>
      <c r="M56" s="201" t="n"/>
      <c r="N56" s="201" t="n"/>
      <c r="O56" s="201" t="n"/>
      <c r="P56" s="201" t="n"/>
      <c r="Q56" s="201" t="n"/>
      <c r="R56" s="201" t="n"/>
      <c r="S56" s="32" t="n"/>
      <c r="T56" s="32" t="n"/>
      <c r="U56" s="32" t="n"/>
      <c r="V56" s="32" t="n"/>
      <c r="W56" s="32" t="n"/>
      <c r="X56" s="32" t="n"/>
      <c r="Y56" s="32" t="n"/>
      <c r="Z56" s="32" t="n"/>
    </row>
    <row r="57" ht="12.5" customHeight="1" s="80">
      <c r="A57" s="32" t="n"/>
      <c r="B57" s="201" t="n"/>
      <c r="C57" s="201" t="n"/>
      <c r="D57" s="201" t="n"/>
      <c r="E57" s="201" t="n"/>
      <c r="F57" s="201" t="n"/>
      <c r="G57" s="201" t="n"/>
      <c r="H57" s="201" t="n"/>
      <c r="I57" s="201" t="n"/>
      <c r="J57" s="201" t="n"/>
      <c r="K57" s="201" t="n"/>
      <c r="L57" s="201" t="n"/>
      <c r="M57" s="201" t="n"/>
      <c r="N57" s="201" t="n"/>
      <c r="O57" s="201" t="n"/>
      <c r="P57" s="201" t="n"/>
      <c r="Q57" s="201" t="n"/>
      <c r="R57" s="201" t="n"/>
      <c r="S57" s="32" t="n"/>
      <c r="T57" s="32" t="n"/>
      <c r="U57" s="32" t="n"/>
      <c r="V57" s="32" t="n"/>
      <c r="W57" s="32" t="n"/>
      <c r="X57" s="32" t="n"/>
      <c r="Y57" s="32" t="n"/>
      <c r="Z57" s="32" t="n"/>
    </row>
    <row r="58" ht="12.5" customHeight="1" s="80">
      <c r="A58" s="32" t="n"/>
      <c r="B58" s="201" t="n"/>
      <c r="C58" s="201" t="n"/>
      <c r="D58" s="201" t="n"/>
      <c r="E58" s="201" t="n"/>
      <c r="F58" s="201" t="n"/>
      <c r="G58" s="201" t="n"/>
      <c r="H58" s="201" t="n"/>
      <c r="I58" s="201" t="n"/>
      <c r="J58" s="201" t="n"/>
      <c r="K58" s="201" t="n"/>
      <c r="L58" s="201" t="n"/>
      <c r="M58" s="201" t="n"/>
      <c r="N58" s="201" t="n"/>
      <c r="O58" s="201" t="n"/>
      <c r="P58" s="201" t="n"/>
      <c r="Q58" s="201" t="n"/>
      <c r="R58" s="201" t="n"/>
      <c r="S58" s="32" t="n"/>
      <c r="T58" s="32" t="n"/>
      <c r="U58" s="32" t="n"/>
      <c r="V58" s="32" t="n"/>
      <c r="W58" s="32" t="n"/>
      <c r="X58" s="32" t="n"/>
      <c r="Y58" s="32" t="n"/>
      <c r="Z58" s="32" t="n"/>
    </row>
    <row r="59" ht="12.5" customHeight="1" s="80">
      <c r="A59" s="32" t="n"/>
      <c r="B59" s="201" t="n"/>
      <c r="C59" s="201" t="n"/>
      <c r="D59" s="201" t="n"/>
      <c r="E59" s="201" t="n"/>
      <c r="F59" s="201" t="n"/>
      <c r="G59" s="201" t="n"/>
      <c r="H59" s="201" t="n"/>
      <c r="I59" s="201" t="n"/>
      <c r="J59" s="201" t="n"/>
      <c r="K59" s="201" t="n"/>
      <c r="L59" s="201" t="n"/>
      <c r="M59" s="201" t="n"/>
      <c r="N59" s="201" t="n"/>
      <c r="O59" s="201" t="n"/>
      <c r="P59" s="201" t="n"/>
      <c r="Q59" s="201" t="n"/>
      <c r="R59" s="201" t="n"/>
      <c r="S59" s="32" t="n"/>
      <c r="T59" s="32" t="n"/>
      <c r="U59" s="32" t="n"/>
      <c r="V59" s="32" t="n"/>
      <c r="W59" s="32" t="n"/>
      <c r="X59" s="32" t="n"/>
      <c r="Y59" s="32" t="n"/>
      <c r="Z59" s="32" t="n"/>
    </row>
    <row r="60" ht="12.5" customHeight="1" s="80">
      <c r="A60" s="32" t="n"/>
      <c r="B60" s="201" t="n"/>
      <c r="C60" s="201" t="n"/>
      <c r="D60" s="201" t="n"/>
      <c r="E60" s="201" t="n"/>
      <c r="F60" s="201" t="n"/>
      <c r="G60" s="201" t="n"/>
      <c r="H60" s="201" t="n"/>
      <c r="I60" s="201" t="n"/>
      <c r="J60" s="201" t="n"/>
      <c r="K60" s="201" t="n"/>
      <c r="L60" s="201" t="n"/>
      <c r="M60" s="201" t="n"/>
      <c r="N60" s="201" t="n"/>
      <c r="O60" s="201" t="n"/>
      <c r="P60" s="201" t="n"/>
      <c r="Q60" s="201" t="n"/>
      <c r="R60" s="201" t="n"/>
      <c r="S60" s="32" t="n"/>
      <c r="T60" s="32" t="n"/>
      <c r="U60" s="32" t="n"/>
      <c r="V60" s="32" t="n"/>
      <c r="W60" s="32" t="n"/>
      <c r="X60" s="32" t="n"/>
      <c r="Y60" s="32" t="n"/>
      <c r="Z60" s="32" t="n"/>
    </row>
    <row r="61" ht="12.5" customHeight="1" s="80">
      <c r="A61" s="32" t="n"/>
      <c r="B61" s="201" t="n"/>
      <c r="C61" s="201" t="n"/>
      <c r="D61" s="201" t="n"/>
      <c r="E61" s="201" t="n"/>
      <c r="F61" s="201" t="n"/>
      <c r="G61" s="201" t="n"/>
      <c r="H61" s="201" t="n"/>
      <c r="I61" s="201" t="n"/>
      <c r="J61" s="201" t="n"/>
      <c r="K61" s="201" t="n"/>
      <c r="L61" s="201" t="n"/>
      <c r="M61" s="201" t="n"/>
      <c r="N61" s="201" t="n"/>
      <c r="O61" s="201" t="n"/>
      <c r="P61" s="201" t="n"/>
      <c r="Q61" s="201" t="n"/>
      <c r="R61" s="201" t="n"/>
      <c r="S61" s="32" t="n"/>
      <c r="T61" s="32" t="n"/>
      <c r="U61" s="32" t="n"/>
      <c r="V61" s="32" t="n"/>
      <c r="W61" s="32" t="n"/>
      <c r="X61" s="32" t="n"/>
      <c r="Y61" s="32" t="n"/>
      <c r="Z61" s="32" t="n"/>
    </row>
    <row r="62" ht="12.5" customHeight="1" s="80">
      <c r="A62" s="32" t="n"/>
      <c r="B62" s="201" t="n"/>
      <c r="C62" s="201" t="n"/>
      <c r="D62" s="201" t="n"/>
      <c r="E62" s="201" t="n"/>
      <c r="F62" s="201" t="n"/>
      <c r="G62" s="201" t="n"/>
      <c r="H62" s="201" t="n"/>
      <c r="I62" s="201" t="n"/>
      <c r="J62" s="201" t="n"/>
      <c r="K62" s="201" t="n"/>
      <c r="L62" s="201" t="n"/>
      <c r="M62" s="201" t="n"/>
      <c r="N62" s="201" t="n"/>
      <c r="O62" s="201" t="n"/>
      <c r="P62" s="201" t="n"/>
      <c r="Q62" s="201" t="n"/>
      <c r="R62" s="201" t="n"/>
      <c r="S62" s="32" t="n"/>
      <c r="T62" s="32" t="n"/>
      <c r="U62" s="32" t="n"/>
      <c r="V62" s="32" t="n"/>
      <c r="W62" s="32" t="n"/>
      <c r="X62" s="32" t="n"/>
      <c r="Y62" s="32" t="n"/>
      <c r="Z62" s="32" t="n"/>
    </row>
    <row r="63" ht="12.5" customHeight="1" s="80">
      <c r="A63" s="32" t="n"/>
      <c r="B63" s="201" t="n"/>
      <c r="C63" s="201" t="n"/>
      <c r="D63" s="201" t="n"/>
      <c r="E63" s="201" t="n"/>
      <c r="F63" s="201" t="n"/>
      <c r="G63" s="201" t="n"/>
      <c r="H63" s="201" t="n"/>
      <c r="I63" s="201" t="n"/>
      <c r="J63" s="201" t="n"/>
      <c r="K63" s="201" t="n"/>
      <c r="L63" s="201" t="n"/>
      <c r="M63" s="201" t="n"/>
      <c r="N63" s="201" t="n"/>
      <c r="O63" s="201" t="n"/>
      <c r="P63" s="201" t="n"/>
      <c r="Q63" s="201" t="n"/>
      <c r="R63" s="201" t="n"/>
      <c r="S63" s="32" t="n"/>
      <c r="T63" s="32" t="n"/>
      <c r="U63" s="32" t="n"/>
      <c r="V63" s="32" t="n"/>
      <c r="W63" s="32" t="n"/>
      <c r="X63" s="32" t="n"/>
      <c r="Y63" s="32" t="n"/>
      <c r="Z63" s="32" t="n"/>
    </row>
    <row r="64" ht="12.5" customHeight="1" s="80">
      <c r="A64" s="32" t="n"/>
      <c r="B64" s="201" t="n"/>
      <c r="C64" s="201" t="n"/>
      <c r="D64" s="201" t="n"/>
      <c r="E64" s="201" t="n"/>
      <c r="F64" s="201" t="n"/>
      <c r="G64" s="201" t="n"/>
      <c r="H64" s="201" t="n"/>
      <c r="I64" s="201" t="n"/>
      <c r="J64" s="201" t="n"/>
      <c r="K64" s="201" t="n"/>
      <c r="L64" s="201" t="n"/>
      <c r="M64" s="201" t="n"/>
      <c r="N64" s="201" t="n"/>
      <c r="O64" s="201" t="n"/>
      <c r="P64" s="201" t="n"/>
      <c r="Q64" s="201" t="n"/>
      <c r="R64" s="201" t="n"/>
      <c r="S64" s="32" t="n"/>
      <c r="T64" s="32" t="n"/>
      <c r="U64" s="32" t="n"/>
      <c r="V64" s="32" t="n"/>
      <c r="W64" s="32" t="n"/>
      <c r="X64" s="32" t="n"/>
      <c r="Y64" s="32" t="n"/>
      <c r="Z64" s="32" t="n"/>
    </row>
    <row r="65" ht="12.5" customHeight="1" s="80">
      <c r="A65" s="32" t="n"/>
      <c r="B65" s="201" t="n"/>
      <c r="C65" s="201" t="n"/>
      <c r="D65" s="201" t="n"/>
      <c r="E65" s="201" t="n"/>
      <c r="F65" s="201" t="n"/>
      <c r="G65" s="201" t="n"/>
      <c r="H65" s="201" t="n"/>
      <c r="I65" s="201" t="n"/>
      <c r="J65" s="201" t="n"/>
      <c r="K65" s="201" t="n"/>
      <c r="L65" s="201" t="n"/>
      <c r="M65" s="201" t="n"/>
      <c r="N65" s="201" t="n"/>
      <c r="O65" s="201" t="n"/>
      <c r="P65" s="201" t="n"/>
      <c r="Q65" s="201" t="n"/>
      <c r="R65" s="201" t="n"/>
      <c r="S65" s="32" t="n"/>
      <c r="T65" s="32" t="n"/>
      <c r="U65" s="32" t="n"/>
      <c r="V65" s="32" t="n"/>
      <c r="W65" s="32" t="n"/>
      <c r="X65" s="32" t="n"/>
      <c r="Y65" s="32" t="n"/>
      <c r="Z65" s="32" t="n"/>
    </row>
    <row r="66" ht="12.5" customHeight="1" s="80">
      <c r="A66" s="32" t="n"/>
      <c r="B66" s="201" t="n"/>
      <c r="C66" s="201" t="n"/>
      <c r="D66" s="201" t="n"/>
      <c r="E66" s="201" t="n"/>
      <c r="F66" s="201" t="n"/>
      <c r="G66" s="201" t="n"/>
      <c r="H66" s="201" t="n"/>
      <c r="I66" s="201" t="n"/>
      <c r="J66" s="201" t="n"/>
      <c r="K66" s="201" t="n"/>
      <c r="L66" s="201" t="n"/>
      <c r="M66" s="201" t="n"/>
      <c r="N66" s="201" t="n"/>
      <c r="O66" s="201" t="n"/>
      <c r="P66" s="201" t="n"/>
      <c r="Q66" s="201" t="n"/>
      <c r="R66" s="201" t="n"/>
      <c r="S66" s="32" t="n"/>
      <c r="T66" s="32" t="n"/>
      <c r="U66" s="32" t="n"/>
      <c r="V66" s="32" t="n"/>
      <c r="W66" s="32" t="n"/>
      <c r="X66" s="32" t="n"/>
      <c r="Y66" s="32" t="n"/>
      <c r="Z66" s="32" t="n"/>
    </row>
    <row r="67" ht="12.5" customHeight="1" s="80">
      <c r="A67" s="32" t="n"/>
      <c r="B67" s="201" t="n"/>
      <c r="C67" s="201" t="n"/>
      <c r="D67" s="201" t="n"/>
      <c r="E67" s="201" t="n"/>
      <c r="F67" s="201" t="n"/>
      <c r="G67" s="201" t="n"/>
      <c r="H67" s="201" t="n"/>
      <c r="I67" s="201" t="n"/>
      <c r="J67" s="201" t="n"/>
      <c r="K67" s="201" t="n"/>
      <c r="L67" s="201" t="n"/>
      <c r="M67" s="201" t="n"/>
      <c r="N67" s="201" t="n"/>
      <c r="O67" s="201" t="n"/>
      <c r="P67" s="201" t="n"/>
      <c r="Q67" s="201" t="n"/>
      <c r="R67" s="201" t="n"/>
      <c r="S67" s="32" t="n"/>
      <c r="T67" s="32" t="n"/>
      <c r="U67" s="32" t="n"/>
      <c r="V67" s="32" t="n"/>
      <c r="W67" s="32" t="n"/>
      <c r="X67" s="32" t="n"/>
      <c r="Y67" s="32" t="n"/>
      <c r="Z67" s="32" t="n"/>
    </row>
    <row r="68" ht="12.5" customHeight="1" s="80">
      <c r="A68" s="32" t="n"/>
      <c r="B68" s="201" t="n"/>
      <c r="C68" s="201" t="n"/>
      <c r="D68" s="201" t="n"/>
      <c r="E68" s="201" t="n"/>
      <c r="F68" s="201" t="n"/>
      <c r="G68" s="201" t="n"/>
      <c r="H68" s="201" t="n"/>
      <c r="I68" s="201" t="n"/>
      <c r="J68" s="201" t="n"/>
      <c r="K68" s="201" t="n"/>
      <c r="L68" s="201" t="n"/>
      <c r="M68" s="201" t="n"/>
      <c r="N68" s="201" t="n"/>
      <c r="O68" s="201" t="n"/>
      <c r="P68" s="201" t="n"/>
      <c r="Q68" s="201" t="n"/>
      <c r="R68" s="201" t="n"/>
      <c r="S68" s="32" t="n"/>
      <c r="T68" s="32" t="n"/>
      <c r="U68" s="32" t="n"/>
      <c r="V68" s="32" t="n"/>
      <c r="W68" s="32" t="n"/>
      <c r="X68" s="32" t="n"/>
      <c r="Y68" s="32" t="n"/>
      <c r="Z68" s="32" t="n"/>
    </row>
    <row r="69" ht="12.5" customHeight="1" s="80">
      <c r="A69" s="32" t="n"/>
      <c r="B69" s="201" t="n"/>
      <c r="C69" s="201" t="n"/>
      <c r="D69" s="201" t="n"/>
      <c r="E69" s="201" t="n"/>
      <c r="F69" s="201" t="n"/>
      <c r="G69" s="201" t="n"/>
      <c r="H69" s="201" t="n"/>
      <c r="I69" s="201" t="n"/>
      <c r="J69" s="201" t="n"/>
      <c r="K69" s="201" t="n"/>
      <c r="L69" s="201" t="n"/>
      <c r="M69" s="201" t="n"/>
      <c r="N69" s="201" t="n"/>
      <c r="O69" s="201" t="n"/>
      <c r="P69" s="201" t="n"/>
      <c r="Q69" s="201" t="n"/>
      <c r="R69" s="201" t="n"/>
      <c r="S69" s="32" t="n"/>
      <c r="T69" s="32" t="n"/>
      <c r="U69" s="32" t="n"/>
      <c r="V69" s="32" t="n"/>
      <c r="W69" s="32" t="n"/>
      <c r="X69" s="32" t="n"/>
      <c r="Y69" s="32" t="n"/>
      <c r="Z69" s="32" t="n"/>
    </row>
    <row r="70" ht="12.5" customHeight="1" s="80">
      <c r="A70" s="32" t="n"/>
      <c r="B70" s="201" t="n"/>
      <c r="C70" s="201" t="n"/>
      <c r="D70" s="201" t="n"/>
      <c r="E70" s="201" t="n"/>
      <c r="F70" s="201" t="n"/>
      <c r="G70" s="201" t="n"/>
      <c r="H70" s="201" t="n"/>
      <c r="I70" s="201" t="n"/>
      <c r="J70" s="201" t="n"/>
      <c r="K70" s="201" t="n"/>
      <c r="L70" s="201" t="n"/>
      <c r="M70" s="201" t="n"/>
      <c r="N70" s="201" t="n"/>
      <c r="O70" s="201" t="n"/>
      <c r="P70" s="201" t="n"/>
      <c r="Q70" s="201" t="n"/>
      <c r="R70" s="201"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60">
    <mergeCell ref="P26:Q26"/>
    <mergeCell ref="K32:M32"/>
    <mergeCell ref="P29:Q29"/>
    <mergeCell ref="E33:F33"/>
    <mergeCell ref="G27:H27"/>
    <mergeCell ref="K31:M31"/>
    <mergeCell ref="K24:R24"/>
    <mergeCell ref="B10:D12"/>
    <mergeCell ref="P25:Q25"/>
    <mergeCell ref="N5:R8"/>
    <mergeCell ref="B3:R3"/>
    <mergeCell ref="B29:D29"/>
    <mergeCell ref="P31:Q31"/>
    <mergeCell ref="F5:I8"/>
    <mergeCell ref="B28:D28"/>
    <mergeCell ref="E29:F29"/>
    <mergeCell ref="K27:M27"/>
    <mergeCell ref="B2:R2"/>
    <mergeCell ref="E28:F28"/>
    <mergeCell ref="G28:H28"/>
    <mergeCell ref="B30:D30"/>
    <mergeCell ref="P27:Q27"/>
    <mergeCell ref="B14:F14"/>
    <mergeCell ref="N14:R14"/>
    <mergeCell ref="J5:M8"/>
    <mergeCell ref="E31:F31"/>
    <mergeCell ref="B33:D33"/>
    <mergeCell ref="E30:F30"/>
    <mergeCell ref="G30:H30"/>
    <mergeCell ref="K28:M28"/>
    <mergeCell ref="G33:H33"/>
    <mergeCell ref="B32:D32"/>
    <mergeCell ref="P32:Q32"/>
    <mergeCell ref="E27:F27"/>
    <mergeCell ref="B26:D26"/>
    <mergeCell ref="P28:Q28"/>
    <mergeCell ref="F10:H12"/>
    <mergeCell ref="E26:F26"/>
    <mergeCell ref="B25:D25"/>
    <mergeCell ref="G26:H26"/>
    <mergeCell ref="K25:M25"/>
    <mergeCell ref="B5:E8"/>
    <mergeCell ref="K30:M30"/>
    <mergeCell ref="G29:H29"/>
    <mergeCell ref="K33:M33"/>
    <mergeCell ref="E32:F32"/>
    <mergeCell ref="B31:D31"/>
    <mergeCell ref="P30:Q30"/>
    <mergeCell ref="B24:I24"/>
    <mergeCell ref="G32:H32"/>
    <mergeCell ref="E25:F25"/>
    <mergeCell ref="N10:R12"/>
    <mergeCell ref="G25:H25"/>
    <mergeCell ref="B27:D27"/>
    <mergeCell ref="P33:Q33"/>
    <mergeCell ref="H14:L14"/>
    <mergeCell ref="G31:H31"/>
    <mergeCell ref="K26:M26"/>
    <mergeCell ref="K29:M29"/>
    <mergeCell ref="J10:L12"/>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2.5"/>
  <cols>
    <col width="30" customWidth="1" style="80" min="1" max="1"/>
    <col width="16" customWidth="1" style="80" min="2" max="2"/>
    <col width="56" customWidth="1" style="80" min="3" max="3"/>
    <col width="26" customWidth="1" style="80" min="4" max="4"/>
    <col width="24" customWidth="1" style="80" min="5" max="5"/>
    <col width="48" customWidth="1" style="80" min="6" max="6"/>
    <col width="34" customWidth="1" style="80" min="7" max="7"/>
    <col width="20" customWidth="1" style="80" min="8" max="8"/>
  </cols>
  <sheetData>
    <row r="1" ht="44" customHeight="1" s="80">
      <c r="A1" s="261" t="inlineStr">
        <is>
          <t>Name</t>
        </is>
      </c>
      <c r="B1" s="261" t="inlineStr">
        <is>
          <t>Status</t>
        </is>
      </c>
      <c r="C1" s="261" t="inlineStr">
        <is>
          <t>linkedin</t>
        </is>
      </c>
      <c r="D1" s="261" t="inlineStr">
        <is>
          <t>prospect_company_name</t>
        </is>
      </c>
      <c r="E1" s="261" t="inlineStr">
        <is>
          <t>company website</t>
        </is>
      </c>
      <c r="F1" s="261" t="inlineStr">
        <is>
          <t>linkedin</t>
        </is>
      </c>
      <c r="G1" s="261" t="inlineStr">
        <is>
          <t>Email</t>
        </is>
      </c>
      <c r="H1" s="261" t="inlineStr">
        <is>
          <t>mobile phone</t>
        </is>
      </c>
    </row>
    <row r="2" ht="101.5" customHeight="1" s="80">
      <c r="A2" t="inlineStr">
        <is>
          <t>Ujwal Kumar</t>
        </is>
      </c>
      <c r="B2" t="inlineStr">
        <is>
          <t>Not Contacted</t>
        </is>
      </c>
      <c r="C2" t="inlineStr">
        <is>
          <t>linkedin.com/in/ACoAAAdGMZsBVa_ZxjzuRnsaZZG1yQY0jeo-tL4</t>
        </is>
      </c>
      <c r="D2" t="inlineStr">
        <is>
          <t>Zomato</t>
        </is>
      </c>
      <c r="E2" t="inlineStr">
        <is>
          <t>zomato.com</t>
        </is>
      </c>
      <c r="F2" t="inlineStr">
        <is>
          <t>linkedin.com/company/zomato</t>
        </is>
      </c>
    </row>
    <row r="3" ht="89" customHeight="1" s="80">
      <c r="A3" t="inlineStr">
        <is>
          <t>Abhimanyu Goyal</t>
        </is>
      </c>
      <c r="B3" t="inlineStr">
        <is>
          <t>Contacted</t>
        </is>
      </c>
      <c r="C3" t="inlineStr">
        <is>
          <t>linkedin.com/in/ACoAACcL4ysBxztc1XDYyDzZKieXn66hIH-Bx84</t>
        </is>
      </c>
      <c r="D3" t="inlineStr">
        <is>
          <t>Zomato</t>
        </is>
      </c>
      <c r="E3" t="inlineStr">
        <is>
          <t>zomato.com</t>
        </is>
      </c>
      <c r="F3" t="inlineStr">
        <is>
          <t>linkedin.com/company/zomato</t>
        </is>
      </c>
      <c r="G3" t="inlineStr">
        <is>
          <t>abhimanyu.goyal@zomato.com</t>
        </is>
      </c>
    </row>
    <row r="4" ht="101.5" customHeight="1" s="80">
      <c r="A4" t="inlineStr">
        <is>
          <t>Dushyant Chaturvedi</t>
        </is>
      </c>
      <c r="B4" t="inlineStr">
        <is>
          <t>Contacted</t>
        </is>
      </c>
      <c r="C4" t="inlineStr">
        <is>
          <t>linkedin.com/in/ACoAAAnqTjMBVls-pr0iMPV0pdcMwMxMKb-G85c</t>
        </is>
      </c>
      <c r="D4" t="inlineStr">
        <is>
          <t>Internshala</t>
        </is>
      </c>
      <c r="E4" t="inlineStr">
        <is>
          <t>internshala.com</t>
        </is>
      </c>
      <c r="F4" t="inlineStr">
        <is>
          <t>linkedin.com/company/internshala</t>
        </is>
      </c>
      <c r="G4" t="inlineStr">
        <is>
          <t>dushyant.chaturvedi@internshala.com</t>
        </is>
      </c>
    </row>
    <row r="5" ht="101.5" customHeight="1" s="80">
      <c r="A5" t="inlineStr">
        <is>
          <t>Seetesh Srivastava</t>
        </is>
      </c>
      <c r="B5" t="inlineStr">
        <is>
          <t>Not Contacted</t>
        </is>
      </c>
      <c r="C5" t="inlineStr">
        <is>
          <t>linkedin.com/in/ACoAAAKGUaAB2gcDBsF6wutpfzsqg57BQ0KtKWQ</t>
        </is>
      </c>
      <c r="D5" t="inlineStr">
        <is>
          <t>Blinkit</t>
        </is>
      </c>
      <c r="E5" t="inlineStr">
        <is>
          <t>blinkit.com</t>
        </is>
      </c>
      <c r="F5" t="inlineStr">
        <is>
          <t>linkedin.com/company/letsblinkit</t>
        </is>
      </c>
    </row>
    <row r="6" ht="89" customHeight="1" s="80">
      <c r="A6" t="inlineStr">
        <is>
          <t>Rishabh Pandey</t>
        </is>
      </c>
      <c r="B6" t="inlineStr">
        <is>
          <t>Not Contacted</t>
        </is>
      </c>
      <c r="C6" t="inlineStr">
        <is>
          <t>linkedin.com/in/ACoAAAGtJgYBzg2y-xJdFVmcSEWHIUJufv-gAYY</t>
        </is>
      </c>
      <c r="D6" t="inlineStr">
        <is>
          <t>Blinkit</t>
        </is>
      </c>
      <c r="E6" t="inlineStr">
        <is>
          <t>blinkit.com</t>
        </is>
      </c>
      <c r="F6" t="inlineStr">
        <is>
          <t>linkedin.com/company/letsblinkit</t>
        </is>
      </c>
      <c r="H6" t="inlineStr">
        <is>
          <t>919953894326</t>
        </is>
      </c>
    </row>
    <row r="7" ht="101.5" customHeight="1" s="80">
      <c r="A7" t="inlineStr">
        <is>
          <t>Nikita Patankar</t>
        </is>
      </c>
      <c r="B7" t="inlineStr">
        <is>
          <t>Contacted</t>
        </is>
      </c>
      <c r="C7" t="inlineStr">
        <is>
          <t>linkedin.com/in/ACoAABkg3BMB3XX3HcheH3KnhuTcnoBCCQp_LX0</t>
        </is>
      </c>
      <c r="D7" t="inlineStr">
        <is>
          <t>Nobroker</t>
        </is>
      </c>
      <c r="E7" t="inlineStr">
        <is>
          <t>nobroker.in</t>
        </is>
      </c>
      <c r="F7" t="inlineStr">
        <is>
          <t>linkedin.com/company/nobroker-in</t>
        </is>
      </c>
      <c r="G7" t="inlineStr">
        <is>
          <t>nikita.patankar@nobroker.in</t>
        </is>
      </c>
    </row>
    <row r="8" ht="101.5" customHeight="1" s="80">
      <c r="A8" t="inlineStr">
        <is>
          <t>Samir Mohammed</t>
        </is>
      </c>
      <c r="B8" t="inlineStr">
        <is>
          <t>Contacted</t>
        </is>
      </c>
      <c r="C8" t="inlineStr">
        <is>
          <t>linkedin.com/in/ACoAAC4vLwMBkqcxQ9uGx-QoOoyG_nfu9UFJGiE</t>
        </is>
      </c>
      <c r="D8" t="inlineStr">
        <is>
          <t>Nobroker</t>
        </is>
      </c>
      <c r="E8" t="inlineStr">
        <is>
          <t>nobroker.in</t>
        </is>
      </c>
      <c r="F8" t="inlineStr">
        <is>
          <t>linkedin.com/company/nobroker-in</t>
        </is>
      </c>
      <c r="G8" t="inlineStr">
        <is>
          <t>samir.mohammed@nobroker.in</t>
        </is>
      </c>
      <c r="H8" t="inlineStr">
        <is>
          <t>971 50 125 7753</t>
        </is>
      </c>
    </row>
    <row r="9" ht="102" customHeight="1" s="80">
      <c r="A9" t="inlineStr">
        <is>
          <t>Kayshel Ophelia Fernandes</t>
        </is>
      </c>
      <c r="B9" t="inlineStr">
        <is>
          <t>Contacted</t>
        </is>
      </c>
      <c r="C9" t="inlineStr">
        <is>
          <t>linkedin.com/in/ACoAAAuddjABEIHn3elPpO5RwhKvT2vYx67Z_yQ</t>
        </is>
      </c>
      <c r="D9" t="inlineStr">
        <is>
          <t>Practo</t>
        </is>
      </c>
      <c r="E9" t="inlineStr">
        <is>
          <t>practo.com</t>
        </is>
      </c>
      <c r="F9" t="inlineStr">
        <is>
          <t>linkedin.com/company/practo-technologies-pvt-ltd</t>
        </is>
      </c>
      <c r="H9" t="inlineStr">
        <is>
          <t>919987386811</t>
        </is>
      </c>
    </row>
    <row r="10" ht="101.5" customHeight="1" s="80">
      <c r="A10" t="inlineStr">
        <is>
          <t>Bhargav Yellapragada</t>
        </is>
      </c>
      <c r="B10" t="inlineStr">
        <is>
          <t>Contacted</t>
        </is>
      </c>
      <c r="C10" t="inlineStr">
        <is>
          <t>linkedin.com/in/ACoAAAfhhOEBhP4u4GondMFdJR0IY3fIGVnYOoU</t>
        </is>
      </c>
      <c r="D10" t="inlineStr">
        <is>
          <t>Zomato</t>
        </is>
      </c>
      <c r="E10" t="inlineStr">
        <is>
          <t>zomato.com</t>
        </is>
      </c>
      <c r="F10" t="inlineStr">
        <is>
          <t>linkedin.com/company/zomato ,bhargavtinku@gmail.com</t>
        </is>
      </c>
      <c r="G10" t="inlineStr">
        <is>
          <t>bhargav.yellapragada@zomato.com</t>
        </is>
      </c>
      <c r="H10" t="inlineStr">
        <is>
          <t>91 99664 46197</t>
        </is>
      </c>
    </row>
    <row r="11" ht="101.5" customHeight="1" s="80">
      <c r="A11" t="inlineStr">
        <is>
          <t>Shoumyan Biswas</t>
        </is>
      </c>
      <c r="B11" t="inlineStr">
        <is>
          <t>Contacted</t>
        </is>
      </c>
      <c r="C11" t="inlineStr">
        <is>
          <t>linkedin.com/in/ACoAAAePDp0BIhqdmPD_PeQYYCZa_sbDlyzNKkE</t>
        </is>
      </c>
      <c r="D11" t="inlineStr">
        <is>
          <t>Practo</t>
        </is>
      </c>
      <c r="E11" t="inlineStr">
        <is>
          <t>practo.com</t>
        </is>
      </c>
      <c r="F11" t="inlineStr">
        <is>
          <t>linkedin.com/company/practo-technologies-pvt-ltd</t>
        </is>
      </c>
      <c r="G11" t="inlineStr">
        <is>
          <t>shoumyan.biswas@practo.com</t>
        </is>
      </c>
    </row>
    <row r="12" ht="131" customHeight="1" s="80">
      <c r="A12" t="inlineStr">
        <is>
          <t>Saurav Goyal</t>
        </is>
      </c>
      <c r="B12" t="inlineStr">
        <is>
          <t>Not Contacted</t>
        </is>
      </c>
      <c r="C12" t="inlineStr">
        <is>
          <t>linkedin.com/in/ACoAAAGpukwBQfzAD4Mrksj5WYI4Kls0OH6IIiE</t>
        </is>
      </c>
      <c r="D12" t="inlineStr">
        <is>
          <t>Swiggy</t>
        </is>
      </c>
      <c r="E12" t="inlineStr">
        <is>
          <t>careers.swiggy.com</t>
        </is>
      </c>
      <c r="F12" t="inlineStr">
        <is>
          <t>linkedin.com/company/swiggy-in</t>
        </is>
      </c>
      <c r="G12" t="inlineStr">
        <is>
          <t>saurav.goyal@swiggy.in</t>
        </is>
      </c>
    </row>
    <row r="13" ht="101.5" customHeight="1" s="80">
      <c r="A13" t="inlineStr">
        <is>
          <t>Jay B.</t>
        </is>
      </c>
      <c r="B13" t="inlineStr">
        <is>
          <t>Not Contacted</t>
        </is>
      </c>
      <c r="C13" t="inlineStr">
        <is>
          <t>linkedin.com/in/ACoAABg4CcEBBzX92mLXqN8Ho_VQaqR0bhjWtG4</t>
        </is>
      </c>
      <c r="D13" t="inlineStr">
        <is>
          <t>Practo</t>
        </is>
      </c>
      <c r="E13" t="inlineStr">
        <is>
          <t>practo.com</t>
        </is>
      </c>
      <c r="F13" t="inlineStr">
        <is>
          <t>linkedin.com/company/practo-technologies-pvt-ltd</t>
        </is>
      </c>
    </row>
    <row r="14" ht="101.5" customHeight="1" s="80">
      <c r="A14" t="inlineStr">
        <is>
          <t>Shilpi Srivastav</t>
        </is>
      </c>
      <c r="B14" t="inlineStr">
        <is>
          <t>Contacted</t>
        </is>
      </c>
      <c r="C14" t="inlineStr">
        <is>
          <t>linkedin.com/in/ACoAAAvrkjcB0sYhlZe-rl-XALdGGWJ5SUd08jk</t>
        </is>
      </c>
      <c r="D14" t="inlineStr">
        <is>
          <t>Swiggy</t>
        </is>
      </c>
      <c r="E14" t="inlineStr">
        <is>
          <t>careers.swiggy.com</t>
        </is>
      </c>
      <c r="F14" t="inlineStr">
        <is>
          <t>linkedin.com/company/swiggy-in</t>
        </is>
      </c>
      <c r="G14" t="inlineStr">
        <is>
          <t>shilpi.srivastav@swiggy.in</t>
        </is>
      </c>
    </row>
    <row r="15" ht="101.5" customHeight="1" s="80">
      <c r="A15" t="inlineStr">
        <is>
          <t>Firoz Alam</t>
        </is>
      </c>
      <c r="B15" t="inlineStr">
        <is>
          <t>Contacted</t>
        </is>
      </c>
      <c r="C15" t="inlineStr">
        <is>
          <t>linkedin.com/in/ACoAAASWdMABVr49X_K-5pmD1TfDGnryY9cAvBQ</t>
        </is>
      </c>
      <c r="D15" t="inlineStr">
        <is>
          <t>Blinkit</t>
        </is>
      </c>
      <c r="E15" t="inlineStr">
        <is>
          <t>blinkit.com</t>
        </is>
      </c>
      <c r="F15" t="inlineStr">
        <is>
          <t>linkedin.com/company/letsblinkit</t>
        </is>
      </c>
      <c r="G15" t="inlineStr">
        <is>
          <t>firozalam@blinkit.com</t>
        </is>
      </c>
    </row>
    <row r="16" ht="101.5" customHeight="1" s="80">
      <c r="A16" t="inlineStr">
        <is>
          <t>Shikhar Baveja</t>
        </is>
      </c>
      <c r="B16" t="inlineStr">
        <is>
          <t>Not Contacted</t>
        </is>
      </c>
      <c r="C16" t="inlineStr">
        <is>
          <t>linkedin.com/in/ACoAAA6BZPEBJs3oTWp8tl9cBvGNYhah9ayVhH0</t>
        </is>
      </c>
      <c r="D16" t="inlineStr">
        <is>
          <t>Swiggy</t>
        </is>
      </c>
      <c r="E16" t="inlineStr">
        <is>
          <t>careers.swiggy.com</t>
        </is>
      </c>
      <c r="F16" t="inlineStr">
        <is>
          <t>linkedin.com/company/swiggy-in</t>
        </is>
      </c>
      <c r="G16" t="inlineStr">
        <is>
          <t>shikhar.baveja@swiggy.in</t>
        </is>
      </c>
    </row>
    <row r="17" ht="89" customHeight="1" s="80">
      <c r="A17" t="inlineStr">
        <is>
          <t>Romeo Ghosh</t>
        </is>
      </c>
      <c r="B17" t="inlineStr">
        <is>
          <t>Contacted</t>
        </is>
      </c>
      <c r="C17" t="inlineStr">
        <is>
          <t>linkedin.com/in/ACoAABtfdPUBlEWxTuCdpAfhZpBzjKsCIkibhjA</t>
        </is>
      </c>
      <c r="D17" t="inlineStr">
        <is>
          <t>Nobroker</t>
        </is>
      </c>
      <c r="E17" t="inlineStr">
        <is>
          <t>nobroker.in</t>
        </is>
      </c>
      <c r="F17" t="inlineStr">
        <is>
          <t>linkedin.com/company/nobroker-in</t>
        </is>
      </c>
      <c r="G17" t="inlineStr">
        <is>
          <t>romeo.ghosh@nobroker.in</t>
        </is>
      </c>
      <c r="H17" t="inlineStr">
        <is>
          <t>918376061525</t>
        </is>
      </c>
    </row>
    <row r="18" ht="116.5" customHeight="1" s="80">
      <c r="A18" t="inlineStr">
        <is>
          <t>Kopal Seth</t>
        </is>
      </c>
      <c r="B18" t="inlineStr">
        <is>
          <t>Contacted</t>
        </is>
      </c>
      <c r="C18" t="inlineStr">
        <is>
          <t>linkedin.com/in/ACoAAB9zp4IBoTVDi-sQWxmsQ2zk_Y5ebNXKwqk</t>
        </is>
      </c>
      <c r="D18" t="inlineStr">
        <is>
          <t>Internshala</t>
        </is>
      </c>
      <c r="E18" t="inlineStr">
        <is>
          <t>internshala.com</t>
        </is>
      </c>
      <c r="F18" t="inlineStr">
        <is>
          <t>linkedin.com/company/internshala</t>
        </is>
      </c>
      <c r="G18" t="inlineStr">
        <is>
          <t>kopal@internshala.com</t>
        </is>
      </c>
    </row>
    <row r="19" ht="101.5" customHeight="1" s="80">
      <c r="A19" t="inlineStr">
        <is>
          <t>Abuzar Jamal</t>
        </is>
      </c>
      <c r="B19" t="inlineStr">
        <is>
          <t>Contacted</t>
        </is>
      </c>
      <c r="C19" t="inlineStr">
        <is>
          <t>linkedin.com/in/ACoAABy7XtYBHgA5V1kKvWMTzdBMHupJsqD7rjM</t>
        </is>
      </c>
      <c r="D19" t="inlineStr">
        <is>
          <t>Collegedunia</t>
        </is>
      </c>
      <c r="E19" t="inlineStr">
        <is>
          <t>collegedunia.com</t>
        </is>
      </c>
      <c r="F19" t="inlineStr">
        <is>
          <t>linkedin.com/school/collegedunia</t>
        </is>
      </c>
      <c r="G19" t="inlineStr">
        <is>
          <t>abuzar.jamal@collegedunia.com</t>
        </is>
      </c>
    </row>
    <row r="20" ht="101.5" customHeight="1" s="80">
      <c r="A20" t="inlineStr">
        <is>
          <t>Pratyush (pratyush Nishantkar) N.</t>
        </is>
      </c>
      <c r="B20" t="inlineStr">
        <is>
          <t>Contacted</t>
        </is>
      </c>
      <c r="C20" t="inlineStr">
        <is>
          <t>linkedin.com/in/ACoAABH-xyMBi7swKOpC2Ofo7cJxcdUC5024Im8</t>
        </is>
      </c>
      <c r="D20" t="inlineStr">
        <is>
          <t>Collegedunia</t>
        </is>
      </c>
      <c r="E20" t="inlineStr">
        <is>
          <t>collegedunia.com</t>
        </is>
      </c>
      <c r="F20" t="inlineStr">
        <is>
          <t>linkedin.com/school/collegedunia</t>
        </is>
      </c>
      <c r="G20" t="inlineStr">
        <is>
          <t>pratyush.nishantkar@collegedunia.com</t>
        </is>
      </c>
    </row>
    <row r="21" ht="101.5" customHeight="1" s="80">
      <c r="A21" t="inlineStr">
        <is>
          <t>Suhas Mishra</t>
        </is>
      </c>
      <c r="B21" t="inlineStr">
        <is>
          <t>Contacted</t>
        </is>
      </c>
      <c r="C21" t="inlineStr">
        <is>
          <t>linkedin.com/in/ACoAAALgKlQBSWSrDYpPs9_tq67jTOqoGRsMe7k</t>
        </is>
      </c>
      <c r="D21" t="inlineStr">
        <is>
          <t>Housing</t>
        </is>
      </c>
      <c r="E21" t="inlineStr">
        <is>
          <t>housing.com</t>
        </is>
      </c>
      <c r="F21" t="inlineStr">
        <is>
          <t>linkedin.com/company/housing-com</t>
        </is>
      </c>
      <c r="G21" t="inlineStr">
        <is>
          <t>suhas.mishra@housing.com</t>
        </is>
      </c>
    </row>
    <row r="22" ht="102" customHeight="1" s="80">
      <c r="A22" t="inlineStr">
        <is>
          <t>Prakash Singhal</t>
        </is>
      </c>
      <c r="B22" t="inlineStr">
        <is>
          <t>Contacted</t>
        </is>
      </c>
      <c r="C22" t="inlineStr">
        <is>
          <t>linkedin.com/in/ACoAAAJ8MvoBa1hloZzn3EQNqzhpHkMKoUm1Rbw</t>
        </is>
      </c>
      <c r="D22" t="inlineStr">
        <is>
          <t>Housing</t>
        </is>
      </c>
      <c r="E22" t="inlineStr">
        <is>
          <t>housing.com</t>
        </is>
      </c>
      <c r="F22" t="inlineStr">
        <is>
          <t>linkedin.com/company/housing-com</t>
        </is>
      </c>
      <c r="G22" t="inlineStr">
        <is>
          <t>prakash.singhal@housing.com</t>
        </is>
      </c>
      <c r="H22" t="inlineStr">
        <is>
          <t>918882211110</t>
        </is>
      </c>
    </row>
    <row r="23" ht="102" customHeight="1" s="80">
      <c r="A23" t="inlineStr">
        <is>
          <t>Shruti Garg</t>
        </is>
      </c>
      <c r="B23" t="inlineStr">
        <is>
          <t>Contacted</t>
        </is>
      </c>
      <c r="C23" t="inlineStr">
        <is>
          <t>linkedin.com/in/ACoAAAL3gLcBTOAFv3hPitlSN7Cfc9Eo7DLH8VY</t>
        </is>
      </c>
      <c r="D23" t="inlineStr">
        <is>
          <t>Housing</t>
        </is>
      </c>
      <c r="E23" t="inlineStr">
        <is>
          <t>housing.com</t>
        </is>
      </c>
      <c r="F23" t="inlineStr">
        <is>
          <t>linkedin.com/company/housing-com</t>
        </is>
      </c>
      <c r="G23" t="inlineStr">
        <is>
          <t>shruti.garg@housing.com</t>
        </is>
      </c>
    </row>
    <row r="24" ht="101.5" customHeight="1" s="80">
      <c r="A24" t="inlineStr">
        <is>
          <t>Kenneth Saldanha</t>
        </is>
      </c>
      <c r="B24" t="inlineStr">
        <is>
          <t>Contacted</t>
        </is>
      </c>
      <c r="C24" t="inlineStr">
        <is>
          <t>linkedin.com/in/ACoAAA-bMaQBVMD-qix9dFtM6jjRwPi2-ux_e0M</t>
        </is>
      </c>
      <c r="D24" t="inlineStr">
        <is>
          <t>Mygate</t>
        </is>
      </c>
      <c r="E24" t="inlineStr">
        <is>
          <t>mygate.com</t>
        </is>
      </c>
      <c r="F24" t="inlineStr">
        <is>
          <t>linkedin.com/company/mygatecom</t>
        </is>
      </c>
      <c r="G24" t="inlineStr">
        <is>
          <t>kenneth.saldanha@mygate.com</t>
        </is>
      </c>
    </row>
    <row r="25" ht="101.5" customHeight="1" s="80">
      <c r="A25" t="inlineStr">
        <is>
          <t>Praful Bele</t>
        </is>
      </c>
      <c r="B25" t="inlineStr">
        <is>
          <t>Contacted</t>
        </is>
      </c>
      <c r="C25" t="inlineStr">
        <is>
          <t>linkedin.com/in/ACoAACP9cSsBxG3-Wlh5EwQyoIyMqIEpRcInPWw</t>
        </is>
      </c>
      <c r="D25" t="inlineStr">
        <is>
          <t>Collegedunia</t>
        </is>
      </c>
      <c r="E25" t="inlineStr">
        <is>
          <t>collegedunia.com</t>
        </is>
      </c>
      <c r="F25" t="inlineStr">
        <is>
          <t>linkedin.com/school/collegedunia</t>
        </is>
      </c>
      <c r="G25" t="inlineStr">
        <is>
          <t>praful.bele@collegedunia.com</t>
        </is>
      </c>
      <c r="H25" t="inlineStr">
        <is>
          <t>918779320849</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2.5"/>
  <cols>
    <col width="34" customWidth="1" style="80" min="1" max="1"/>
    <col width="12" customWidth="1" style="80" min="2" max="2"/>
    <col width="38" customWidth="1" style="80" min="3" max="3"/>
    <col width="16" customWidth="1" style="80" min="4" max="4"/>
    <col width="12" customWidth="1" style="80" min="5" max="5"/>
    <col width="14" customWidth="1" style="80" min="6" max="6"/>
    <col width="14" customWidth="1" style="80" min="7" max="7"/>
    <col width="14" customWidth="1" style="80" min="8" max="8"/>
    <col width="18" customWidth="1" style="80" min="9" max="9"/>
    <col width="18" customWidth="1" style="80" min="10" max="10"/>
    <col width="14" customWidth="1" style="80" min="11" max="11"/>
  </cols>
  <sheetData>
    <row r="1">
      <c r="A1" s="274" t="inlineStr">
        <is>
          <t>Title</t>
        </is>
      </c>
      <c r="B1" s="274" t="inlineStr">
        <is>
          <t>Status</t>
        </is>
      </c>
      <c r="C1" s="274" t="inlineStr">
        <is>
          <t>Description</t>
        </is>
      </c>
      <c r="D1" s="274" t="inlineStr">
        <is>
          <t>Assigned To</t>
        </is>
      </c>
      <c r="E1" s="274" t="inlineStr">
        <is>
          <t>Priority</t>
        </is>
      </c>
      <c r="F1" s="274" t="inlineStr">
        <is>
          <t>Due Date</t>
        </is>
      </c>
      <c r="G1" s="274" t="inlineStr">
        <is>
          <t>Start Date</t>
        </is>
      </c>
      <c r="H1" s="274" t="inlineStr">
        <is>
          <t>Date Created</t>
        </is>
      </c>
      <c r="I1" s="274" t="inlineStr">
        <is>
          <t>Created By</t>
        </is>
      </c>
      <c r="J1" s="274" t="inlineStr">
        <is>
          <t>Tags</t>
        </is>
      </c>
      <c r="K1" s="274" t="inlineStr">
        <is>
          <t>dateFormat</t>
        </is>
      </c>
    </row>
    <row r="2">
      <c r="A2" s="275" t="inlineStr">
        <is>
          <t>Contact Doctor Associations</t>
        </is>
      </c>
      <c r="B2" s="275" t="inlineStr">
        <is>
          <t>open</t>
        </is>
      </c>
      <c r="C2" s="275" t="inlineStr">
        <is>
          <t>Outreach to doctor associations</t>
        </is>
      </c>
      <c r="D2" s="275" t="inlineStr"/>
      <c r="E2" s="275" t="inlineStr">
        <is>
          <t>Medium</t>
        </is>
      </c>
      <c r="F2" s="276" t="inlineStr"/>
      <c r="G2" s="276" t="inlineStr"/>
      <c r="H2" s="276" t="inlineStr"/>
      <c r="I2" s="275" t="inlineStr"/>
      <c r="J2" s="275" t="inlineStr">
        <is>
          <t>Partnerships</t>
        </is>
      </c>
      <c r="K2" s="275" t="inlineStr">
        <is>
          <t>dd/MM/yyyy</t>
        </is>
      </c>
    </row>
    <row r="3">
      <c r="A3" s="275" t="inlineStr">
        <is>
          <t>Contact Business Associations</t>
        </is>
      </c>
      <c r="B3" s="275" t="inlineStr">
        <is>
          <t>open</t>
        </is>
      </c>
      <c r="C3" s="275" t="inlineStr">
        <is>
          <t>Outreach to business associations</t>
        </is>
      </c>
      <c r="D3" s="275" t="inlineStr"/>
      <c r="E3" s="275" t="inlineStr">
        <is>
          <t>Medium</t>
        </is>
      </c>
      <c r="F3" s="276" t="inlineStr"/>
      <c r="G3" s="276" t="inlineStr"/>
      <c r="H3" s="276" t="inlineStr"/>
      <c r="I3" s="275" t="inlineStr"/>
      <c r="J3" s="275" t="inlineStr">
        <is>
          <t>Partnerships</t>
        </is>
      </c>
      <c r="K3" s="275" t="inlineStr">
        <is>
          <t>dd/MM/yyyy</t>
        </is>
      </c>
    </row>
    <row r="4">
      <c r="A4" s="275" t="inlineStr">
        <is>
          <t>Contact CA Associations</t>
        </is>
      </c>
      <c r="B4" s="275" t="inlineStr">
        <is>
          <t>open</t>
        </is>
      </c>
      <c r="C4" s="275" t="inlineStr">
        <is>
          <t>Outreach to CA associations</t>
        </is>
      </c>
      <c r="D4" s="275" t="inlineStr"/>
      <c r="E4" s="275" t="inlineStr">
        <is>
          <t>Medium</t>
        </is>
      </c>
      <c r="F4" s="276" t="inlineStr"/>
      <c r="G4" s="276" t="inlineStr"/>
      <c r="H4" s="276" t="inlineStr"/>
      <c r="I4" s="275" t="inlineStr"/>
      <c r="J4" s="275" t="inlineStr">
        <is>
          <t>Partnerships</t>
        </is>
      </c>
      <c r="K4" s="275" t="inlineStr">
        <is>
          <t>dd/MM/yyyy</t>
        </is>
      </c>
    </row>
    <row r="5">
      <c r="A5" s="275" t="inlineStr">
        <is>
          <t>Identify Business Owners &gt;2Cr</t>
        </is>
      </c>
      <c r="B5" s="275" t="inlineStr">
        <is>
          <t>open</t>
        </is>
      </c>
      <c r="C5" s="275" t="inlineStr">
        <is>
          <t>Find and reach high value business owners</t>
        </is>
      </c>
      <c r="D5" s="275" t="inlineStr"/>
      <c r="E5" s="275" t="inlineStr">
        <is>
          <t>High</t>
        </is>
      </c>
      <c r="F5" s="276" t="inlineStr"/>
      <c r="G5" s="276" t="inlineStr"/>
      <c r="H5" s="276" t="inlineStr"/>
      <c r="I5" s="275" t="inlineStr"/>
      <c r="J5" s="275" t="inlineStr">
        <is>
          <t>Partnerships</t>
        </is>
      </c>
      <c r="K5" s="275" t="inlineStr">
        <is>
          <t>dd/MM/yyyy</t>
        </is>
      </c>
    </row>
    <row r="6">
      <c r="A6" s="275" t="inlineStr">
        <is>
          <t>Reach out Practo</t>
        </is>
      </c>
      <c r="B6" s="275" t="inlineStr">
        <is>
          <t>open</t>
        </is>
      </c>
      <c r="C6" s="275" t="inlineStr">
        <is>
          <t>Platform partnership outreach</t>
        </is>
      </c>
      <c r="D6" s="275" t="inlineStr"/>
      <c r="E6" s="275" t="inlineStr">
        <is>
          <t>High</t>
        </is>
      </c>
      <c r="F6" s="276" t="inlineStr"/>
      <c r="G6" s="276" t="inlineStr"/>
      <c r="H6" s="276" t="inlineStr"/>
      <c r="I6" s="275" t="inlineStr"/>
      <c r="J6" s="275" t="inlineStr">
        <is>
          <t>Platform</t>
        </is>
      </c>
      <c r="K6" s="275" t="inlineStr">
        <is>
          <t>dd/MM/yyyy</t>
        </is>
      </c>
    </row>
    <row r="7">
      <c r="A7" s="275" t="inlineStr">
        <is>
          <t>Reach out Blinkit</t>
        </is>
      </c>
      <c r="B7" s="275" t="inlineStr">
        <is>
          <t>open</t>
        </is>
      </c>
      <c r="C7" s="275" t="inlineStr">
        <is>
          <t>Platform partnership outreach</t>
        </is>
      </c>
      <c r="D7" s="275" t="inlineStr"/>
      <c r="E7" s="275" t="inlineStr">
        <is>
          <t>High</t>
        </is>
      </c>
      <c r="F7" s="276" t="inlineStr"/>
      <c r="G7" s="276" t="inlineStr"/>
      <c r="H7" s="276" t="inlineStr"/>
      <c r="I7" s="275" t="inlineStr"/>
      <c r="J7" s="275" t="inlineStr">
        <is>
          <t>Platform</t>
        </is>
      </c>
      <c r="K7" s="275" t="inlineStr">
        <is>
          <t>dd/MM/yyyy</t>
        </is>
      </c>
    </row>
    <row r="8">
      <c r="A8" s="275" t="inlineStr">
        <is>
          <t>Reach out Zomato</t>
        </is>
      </c>
      <c r="B8" s="275" t="inlineStr">
        <is>
          <t>open</t>
        </is>
      </c>
      <c r="C8" s="275" t="inlineStr">
        <is>
          <t>Platform partnership outreach</t>
        </is>
      </c>
      <c r="D8" s="275" t="inlineStr"/>
      <c r="E8" s="275" t="inlineStr">
        <is>
          <t>High</t>
        </is>
      </c>
      <c r="F8" s="275" t="inlineStr"/>
      <c r="G8" s="275" t="inlineStr"/>
      <c r="H8" s="275" t="inlineStr"/>
      <c r="I8" s="275" t="inlineStr"/>
      <c r="J8" s="275" t="inlineStr">
        <is>
          <t>Platform</t>
        </is>
      </c>
      <c r="K8" s="275" t="inlineStr">
        <is>
          <t>dd/MM/yyyy</t>
        </is>
      </c>
    </row>
    <row r="9">
      <c r="A9" s="275" t="inlineStr">
        <is>
          <t>Reach out Swiggy</t>
        </is>
      </c>
      <c r="B9" s="275" t="inlineStr">
        <is>
          <t>open</t>
        </is>
      </c>
      <c r="C9" s="275" t="inlineStr">
        <is>
          <t>Platform partnership outreach</t>
        </is>
      </c>
      <c r="D9" s="275" t="inlineStr"/>
      <c r="E9" s="275" t="inlineStr">
        <is>
          <t>High</t>
        </is>
      </c>
      <c r="F9" s="275" t="inlineStr"/>
      <c r="G9" s="275" t="inlineStr"/>
      <c r="H9" s="275" t="inlineStr"/>
      <c r="I9" s="275" t="inlineStr"/>
      <c r="J9" s="275" t="inlineStr">
        <is>
          <t>Platform</t>
        </is>
      </c>
      <c r="K9" s="275" t="inlineStr">
        <is>
          <t>dd/MM/yyyy</t>
        </is>
      </c>
    </row>
    <row r="10">
      <c r="A10" s="275" t="inlineStr">
        <is>
          <t>Reach out MyGate</t>
        </is>
      </c>
      <c r="B10" s="275" t="inlineStr">
        <is>
          <t>open</t>
        </is>
      </c>
      <c r="C10" s="275" t="inlineStr">
        <is>
          <t>Platform partnership outreach</t>
        </is>
      </c>
      <c r="D10" s="275" t="inlineStr"/>
      <c r="E10" s="275" t="inlineStr">
        <is>
          <t>Medium</t>
        </is>
      </c>
      <c r="F10" s="275" t="inlineStr"/>
      <c r="G10" s="275" t="inlineStr"/>
      <c r="H10" s="275" t="inlineStr"/>
      <c r="I10" s="275" t="inlineStr"/>
      <c r="J10" s="275" t="inlineStr">
        <is>
          <t>Platform</t>
        </is>
      </c>
      <c r="K10" s="275" t="inlineStr">
        <is>
          <t>dd/MM/yyyy</t>
        </is>
      </c>
    </row>
    <row r="11">
      <c r="A11" s="275" t="inlineStr">
        <is>
          <t>Explore National Platforms</t>
        </is>
      </c>
      <c r="B11" s="275" t="inlineStr">
        <is>
          <t>open</t>
        </is>
      </c>
      <c r="C11" s="275" t="inlineStr">
        <is>
          <t>Find expansion platforms</t>
        </is>
      </c>
      <c r="D11" s="275" t="inlineStr"/>
      <c r="E11" s="275" t="inlineStr">
        <is>
          <t>Low</t>
        </is>
      </c>
      <c r="F11" s="275" t="inlineStr"/>
      <c r="G11" s="275" t="inlineStr"/>
      <c r="H11" s="275" t="inlineStr"/>
      <c r="I11" s="275" t="inlineStr"/>
      <c r="J11" s="275" t="inlineStr">
        <is>
          <t>Platform</t>
        </is>
      </c>
      <c r="K11" s="275" t="inlineStr">
        <is>
          <t>dd/MM/yyyy</t>
        </is>
      </c>
    </row>
    <row r="12">
      <c r="A12" s="275" t="inlineStr">
        <is>
          <t>Explore Event Platforms</t>
        </is>
      </c>
      <c r="B12" s="275" t="inlineStr">
        <is>
          <t>open</t>
        </is>
      </c>
      <c r="C12" s="275" t="inlineStr">
        <is>
          <t>Find event-based growth channels</t>
        </is>
      </c>
      <c r="D12" s="275" t="inlineStr"/>
      <c r="E12" s="275" t="inlineStr">
        <is>
          <t>Low</t>
        </is>
      </c>
      <c r="F12" s="275" t="inlineStr"/>
      <c r="G12" s="275" t="inlineStr"/>
      <c r="H12" s="275" t="inlineStr"/>
      <c r="I12" s="275" t="inlineStr"/>
      <c r="J12" s="275" t="inlineStr">
        <is>
          <t>Platform</t>
        </is>
      </c>
      <c r="K12" s="275" t="inlineStr">
        <is>
          <t>dd/MM/yyyy</t>
        </is>
      </c>
    </row>
    <row r="13">
      <c r="A13" s="275" t="inlineStr">
        <is>
          <t>Restaurant Partnerships</t>
        </is>
      </c>
      <c r="B13" s="275" t="inlineStr">
        <is>
          <t>open</t>
        </is>
      </c>
      <c r="C13" s="275" t="inlineStr">
        <is>
          <t>Tie up with restaurants</t>
        </is>
      </c>
      <c r="D13" s="275" t="inlineStr"/>
      <c r="E13" s="275" t="inlineStr">
        <is>
          <t>Medium</t>
        </is>
      </c>
      <c r="F13" s="275" t="inlineStr"/>
      <c r="G13" s="275" t="inlineStr"/>
      <c r="H13" s="275" t="inlineStr"/>
      <c r="I13" s="275" t="inlineStr"/>
      <c r="J13" s="275" t="inlineStr">
        <is>
          <t>Platform</t>
        </is>
      </c>
      <c r="K13" s="275" t="inlineStr">
        <is>
          <t>dd/MM/yyyy</t>
        </is>
      </c>
    </row>
    <row r="14">
      <c r="A14" s="275" t="inlineStr">
        <is>
          <t>School Outreach Plan</t>
        </is>
      </c>
      <c r="B14" s="275" t="inlineStr">
        <is>
          <t>open</t>
        </is>
      </c>
      <c r="C14" s="275" t="inlineStr">
        <is>
          <t>Plan school outreach strategy</t>
        </is>
      </c>
      <c r="D14" s="275" t="inlineStr"/>
      <c r="E14" s="275" t="inlineStr">
        <is>
          <t>High</t>
        </is>
      </c>
      <c r="F14" s="275" t="inlineStr"/>
      <c r="G14" s="275" t="inlineStr"/>
      <c r="H14" s="275" t="inlineStr"/>
      <c r="I14" s="275" t="inlineStr"/>
      <c r="J14" s="275" t="inlineStr">
        <is>
          <t>School</t>
        </is>
      </c>
      <c r="K14" s="275" t="inlineStr">
        <is>
          <t>dd/MM/yyyy</t>
        </is>
      </c>
    </row>
    <row r="15">
      <c r="A15" s="275" t="inlineStr">
        <is>
          <t>Define Target Schools</t>
        </is>
      </c>
      <c r="B15" s="275" t="inlineStr">
        <is>
          <t>open</t>
        </is>
      </c>
      <c r="C15" s="275" t="inlineStr">
        <is>
          <t>Identify top schools</t>
        </is>
      </c>
      <c r="D15" s="275" t="inlineStr"/>
      <c r="E15" s="275" t="inlineStr">
        <is>
          <t>Medium</t>
        </is>
      </c>
      <c r="F15" s="275" t="inlineStr"/>
      <c r="G15" s="275" t="inlineStr"/>
      <c r="H15" s="275" t="inlineStr"/>
      <c r="I15" s="275" t="inlineStr"/>
      <c r="J15" s="275" t="inlineStr">
        <is>
          <t>School</t>
        </is>
      </c>
      <c r="K15" s="275" t="inlineStr">
        <is>
          <t>dd/MM/yyyy</t>
        </is>
      </c>
    </row>
    <row r="16">
      <c r="A16" s="275" t="inlineStr">
        <is>
          <t>Identify Decision Makers</t>
        </is>
      </c>
      <c r="B16" s="275" t="inlineStr">
        <is>
          <t>open</t>
        </is>
      </c>
      <c r="C16" s="275" t="inlineStr">
        <is>
          <t>Find principals and admins</t>
        </is>
      </c>
      <c r="D16" s="275" t="inlineStr"/>
      <c r="E16" s="275" t="inlineStr">
        <is>
          <t>Medium</t>
        </is>
      </c>
      <c r="F16" s="275" t="inlineStr"/>
      <c r="G16" s="275" t="inlineStr"/>
      <c r="H16" s="275" t="inlineStr"/>
      <c r="I16" s="275" t="inlineStr"/>
      <c r="J16" s="275" t="inlineStr">
        <is>
          <t>School</t>
        </is>
      </c>
      <c r="K16" s="275" t="inlineStr">
        <is>
          <t>dd/MM/yyyy</t>
        </is>
      </c>
    </row>
    <row r="17">
      <c r="A17" s="275" t="inlineStr">
        <is>
          <t>Prepare Contact List</t>
        </is>
      </c>
      <c r="B17" s="275" t="inlineStr">
        <is>
          <t>open</t>
        </is>
      </c>
      <c r="C17" s="275" t="inlineStr">
        <is>
          <t>Build school database</t>
        </is>
      </c>
      <c r="D17" s="275" t="inlineStr"/>
      <c r="E17" s="275" t="inlineStr">
        <is>
          <t>Medium</t>
        </is>
      </c>
      <c r="F17" s="275" t="inlineStr"/>
      <c r="G17" s="275" t="inlineStr"/>
      <c r="H17" s="275" t="inlineStr"/>
      <c r="I17" s="275" t="inlineStr"/>
      <c r="J17" s="275" t="inlineStr">
        <is>
          <t>School</t>
        </is>
      </c>
      <c r="K17" s="275" t="inlineStr">
        <is>
          <t>dd/MM/yyyy</t>
        </is>
      </c>
    </row>
    <row r="18">
      <c r="A18" s="275" t="inlineStr">
        <is>
          <t>Create Outreach Script</t>
        </is>
      </c>
      <c r="B18" s="275" t="inlineStr">
        <is>
          <t>open</t>
        </is>
      </c>
      <c r="C18" s="275" t="inlineStr">
        <is>
          <t>Email and call scripts</t>
        </is>
      </c>
      <c r="D18" s="275" t="inlineStr"/>
      <c r="E18" s="275" t="inlineStr">
        <is>
          <t>Medium</t>
        </is>
      </c>
      <c r="F18" s="275" t="inlineStr"/>
      <c r="G18" s="275" t="inlineStr"/>
      <c r="H18" s="275" t="inlineStr"/>
      <c r="I18" s="275" t="inlineStr"/>
      <c r="J18" s="275" t="inlineStr">
        <is>
          <t>School</t>
        </is>
      </c>
      <c r="K18" s="275" t="inlineStr">
        <is>
          <t>dd/MM/yyyy</t>
        </is>
      </c>
    </row>
    <row r="19">
      <c r="A19" s="275" t="inlineStr">
        <is>
          <t>Workshop Proposal (Young Investor)</t>
        </is>
      </c>
      <c r="B19" s="275" t="inlineStr">
        <is>
          <t>open</t>
        </is>
      </c>
      <c r="C19" s="275" t="inlineStr">
        <is>
          <t>Create workshop pitch</t>
        </is>
      </c>
      <c r="D19" s="275" t="inlineStr"/>
      <c r="E19" s="275" t="inlineStr">
        <is>
          <t>High</t>
        </is>
      </c>
      <c r="F19" s="275" t="inlineStr"/>
      <c r="G19" s="275" t="inlineStr"/>
      <c r="H19" s="275" t="inlineStr"/>
      <c r="I19" s="275" t="inlineStr"/>
      <c r="J19" s="275" t="inlineStr">
        <is>
          <t>School</t>
        </is>
      </c>
      <c r="K19" s="275" t="inlineStr">
        <is>
          <t>dd/MM/yyyy</t>
        </is>
      </c>
    </row>
    <row r="20">
      <c r="A20" s="275" t="inlineStr">
        <is>
          <t>Identify Pilot Schools</t>
        </is>
      </c>
      <c r="B20" s="275" t="inlineStr">
        <is>
          <t>open</t>
        </is>
      </c>
      <c r="C20" s="275" t="inlineStr">
        <is>
          <t>Select initial schools</t>
        </is>
      </c>
      <c r="D20" s="275" t="inlineStr"/>
      <c r="E20" s="275" t="inlineStr">
        <is>
          <t>High</t>
        </is>
      </c>
      <c r="F20" s="275" t="inlineStr"/>
      <c r="G20" s="275" t="inlineStr"/>
      <c r="H20" s="275" t="inlineStr"/>
      <c r="I20" s="275" t="inlineStr"/>
      <c r="J20" s="275" t="inlineStr">
        <is>
          <t>School</t>
        </is>
      </c>
      <c r="K20" s="275" t="inlineStr">
        <is>
          <t>dd/MM/yyyy</t>
        </is>
      </c>
    </row>
    <row r="21">
      <c r="A21" s="275" t="inlineStr">
        <is>
          <t>Email Outreach</t>
        </is>
      </c>
      <c r="B21" s="275" t="inlineStr">
        <is>
          <t>open</t>
        </is>
      </c>
      <c r="C21" s="275" t="inlineStr">
        <is>
          <t>Send emails</t>
        </is>
      </c>
      <c r="D21" s="275" t="inlineStr">
        <is>
          <t>Indu</t>
        </is>
      </c>
      <c r="E21" s="275" t="inlineStr">
        <is>
          <t>High</t>
        </is>
      </c>
      <c r="F21" s="275" t="inlineStr"/>
      <c r="G21" s="275" t="inlineStr"/>
      <c r="H21" s="275" t="inlineStr"/>
      <c r="I21" s="275" t="inlineStr"/>
      <c r="J21" s="275" t="inlineStr">
        <is>
          <t>School</t>
        </is>
      </c>
      <c r="K21" s="275" t="inlineStr">
        <is>
          <t>dd/MM/yyyy</t>
        </is>
      </c>
    </row>
    <row r="22">
      <c r="A22" s="275" t="inlineStr">
        <is>
          <t>WhatsApp Outreach</t>
        </is>
      </c>
      <c r="B22" s="275" t="inlineStr">
        <is>
          <t>open</t>
        </is>
      </c>
      <c r="C22" s="275" t="inlineStr">
        <is>
          <t>Send WhatsApp messages</t>
        </is>
      </c>
      <c r="D22" s="275" t="inlineStr">
        <is>
          <t>Indu</t>
        </is>
      </c>
      <c r="E22" s="275" t="inlineStr">
        <is>
          <t>High</t>
        </is>
      </c>
      <c r="F22" s="275" t="inlineStr"/>
      <c r="G22" s="275" t="inlineStr"/>
      <c r="H22" s="275" t="inlineStr"/>
      <c r="I22" s="275" t="inlineStr"/>
      <c r="J22" s="275" t="inlineStr">
        <is>
          <t>School</t>
        </is>
      </c>
      <c r="K22" s="275" t="inlineStr">
        <is>
          <t>dd/MM/yyyy</t>
        </is>
      </c>
    </row>
    <row r="23">
      <c r="A23" s="275" t="inlineStr">
        <is>
          <t>Find Webinar Platforms</t>
        </is>
      </c>
      <c r="B23" s="275" t="inlineStr">
        <is>
          <t>open</t>
        </is>
      </c>
      <c r="C23" s="275" t="inlineStr">
        <is>
          <t>Identify webinar tools</t>
        </is>
      </c>
      <c r="D23" s="275" t="inlineStr"/>
      <c r="E23" s="275" t="inlineStr">
        <is>
          <t>Low</t>
        </is>
      </c>
      <c r="F23" s="275" t="inlineStr"/>
      <c r="G23" s="275" t="inlineStr"/>
      <c r="H23" s="275" t="inlineStr"/>
      <c r="I23" s="275" t="inlineStr"/>
      <c r="J23" s="275" t="inlineStr">
        <is>
          <t>School</t>
        </is>
      </c>
      <c r="K23" s="275" t="inlineStr">
        <is>
          <t>dd/MM/yyyy</t>
        </is>
      </c>
    </row>
    <row r="24">
      <c r="A24" s="275" t="inlineStr">
        <is>
          <t>Platform Placement</t>
        </is>
      </c>
      <c r="B24" s="275" t="inlineStr">
        <is>
          <t>open</t>
        </is>
      </c>
      <c r="C24" s="275" t="inlineStr">
        <is>
          <t>Place Fnomo inside partner apps</t>
        </is>
      </c>
      <c r="D24" s="275" t="inlineStr"/>
      <c r="E24" s="275" t="inlineStr">
        <is>
          <t>High</t>
        </is>
      </c>
      <c r="F24" s="275" t="inlineStr"/>
      <c r="G24" s="275" t="inlineStr"/>
      <c r="H24" s="275" t="inlineStr"/>
      <c r="I24" s="275" t="inlineStr"/>
      <c r="J24" s="275" t="inlineStr">
        <is>
          <t>Execution</t>
        </is>
      </c>
      <c r="K24" s="275" t="inlineStr">
        <is>
          <t>dd/MM/yyyy</t>
        </is>
      </c>
    </row>
    <row r="25">
      <c r="A25" s="275" t="inlineStr">
        <is>
          <t>List on Product Hunt</t>
        </is>
      </c>
      <c r="B25" s="275" t="inlineStr">
        <is>
          <t>open</t>
        </is>
      </c>
      <c r="C25" s="275" t="inlineStr">
        <is>
          <t>Launch on Product Hunt</t>
        </is>
      </c>
      <c r="D25" s="275" t="inlineStr"/>
      <c r="E25" s="275" t="inlineStr">
        <is>
          <t>Medium</t>
        </is>
      </c>
      <c r="F25" s="275" t="inlineStr"/>
      <c r="G25" s="275" t="inlineStr"/>
      <c r="H25" s="275" t="inlineStr"/>
      <c r="I25" s="275" t="inlineStr"/>
      <c r="J25" s="275" t="inlineStr">
        <is>
          <t>Execution</t>
        </is>
      </c>
      <c r="K25" s="275" t="inlineStr">
        <is>
          <t>dd/MM/yyyy</t>
        </is>
      </c>
    </row>
    <row r="26">
      <c r="A26" s="275" t="inlineStr">
        <is>
          <t>Talk to Data Providers</t>
        </is>
      </c>
      <c r="B26" s="275" t="inlineStr">
        <is>
          <t>open</t>
        </is>
      </c>
      <c r="C26" s="275" t="inlineStr">
        <is>
          <t>Direct outreach to data providers</t>
        </is>
      </c>
      <c r="D26" s="275" t="inlineStr"/>
      <c r="E26" s="275" t="inlineStr">
        <is>
          <t>High</t>
        </is>
      </c>
      <c r="F26" s="275" t="inlineStr"/>
      <c r="G26" s="275" t="inlineStr"/>
      <c r="H26" s="275" t="inlineStr"/>
      <c r="I26" s="275" t="inlineStr"/>
      <c r="J26" s="275" t="inlineStr">
        <is>
          <t>Execution</t>
        </is>
      </c>
      <c r="K26" s="275" t="inlineStr">
        <is>
          <t>dd/MM/yyyy</t>
        </is>
      </c>
    </row>
    <row r="27">
      <c r="A27" s="275" t="inlineStr">
        <is>
          <t>Create Demo Video</t>
        </is>
      </c>
      <c r="B27" s="275" t="inlineStr">
        <is>
          <t>open</t>
        </is>
      </c>
      <c r="C27" s="275" t="inlineStr">
        <is>
          <t>Build product demo</t>
        </is>
      </c>
      <c r="D27" s="275" t="inlineStr"/>
      <c r="E27" s="275" t="inlineStr">
        <is>
          <t>High</t>
        </is>
      </c>
      <c r="F27" s="275" t="inlineStr"/>
      <c r="G27" s="275" t="inlineStr"/>
      <c r="H27" s="275" t="inlineStr"/>
      <c r="I27" s="275" t="inlineStr"/>
      <c r="J27" s="275" t="inlineStr">
        <is>
          <t>Execution</t>
        </is>
      </c>
      <c r="K27" s="275" t="inlineStr">
        <is>
          <t>dd/MM/yyyy</t>
        </is>
      </c>
    </row>
    <row r="28">
      <c r="A28" s="275" t="inlineStr">
        <is>
          <t>Setup WhatsApp System</t>
        </is>
      </c>
      <c r="B28" s="275" t="inlineStr">
        <is>
          <t>open</t>
        </is>
      </c>
      <c r="C28" s="275" t="inlineStr">
        <is>
          <t>Setup outreach system</t>
        </is>
      </c>
      <c r="D28" s="275" t="inlineStr"/>
      <c r="E28" s="275" t="inlineStr">
        <is>
          <t>Medium</t>
        </is>
      </c>
      <c r="F28" s="275" t="inlineStr"/>
      <c r="G28" s="275" t="inlineStr"/>
      <c r="H28" s="275" t="inlineStr"/>
      <c r="I28" s="275" t="inlineStr"/>
      <c r="J28" s="275" t="inlineStr">
        <is>
          <t>Execution</t>
        </is>
      </c>
      <c r="K28" s="275" t="inlineStr">
        <is>
          <t>dd/MM/yyyy</t>
        </is>
      </c>
    </row>
    <row r="29">
      <c r="A29" s="275" t="inlineStr">
        <is>
          <t>Setup Telegram System</t>
        </is>
      </c>
      <c r="B29" s="275" t="inlineStr">
        <is>
          <t>open</t>
        </is>
      </c>
      <c r="C29" s="275" t="inlineStr">
        <is>
          <t>Setup outreach system</t>
        </is>
      </c>
      <c r="D29" s="275" t="inlineStr"/>
      <c r="E29" s="275" t="inlineStr">
        <is>
          <t>Medium</t>
        </is>
      </c>
      <c r="F29" s="275" t="inlineStr"/>
      <c r="G29" s="275" t="inlineStr"/>
      <c r="H29" s="275" t="inlineStr"/>
      <c r="I29" s="275" t="inlineStr"/>
      <c r="J29" s="275" t="inlineStr">
        <is>
          <t>Execution</t>
        </is>
      </c>
      <c r="K29" s="275" t="inlineStr">
        <is>
          <t>dd/MM/yyyy</t>
        </is>
      </c>
    </row>
    <row r="30">
      <c r="A30" s="275" t="inlineStr">
        <is>
          <t>Revenue Share 30%</t>
        </is>
      </c>
      <c r="B30" s="275" t="inlineStr">
        <is>
          <t>open</t>
        </is>
      </c>
      <c r="C30" s="275" t="inlineStr">
        <is>
          <t>Define revenue model</t>
        </is>
      </c>
      <c r="D30" s="275" t="inlineStr"/>
      <c r="E30" s="275" t="inlineStr">
        <is>
          <t>High</t>
        </is>
      </c>
      <c r="F30" s="275" t="inlineStr"/>
      <c r="G30" s="275" t="inlineStr"/>
      <c r="H30" s="275" t="inlineStr"/>
      <c r="I30" s="275" t="inlineStr"/>
      <c r="J30" s="275" t="inlineStr">
        <is>
          <t>Commercial</t>
        </is>
      </c>
      <c r="K30" s="275" t="inlineStr">
        <is>
          <t>dd/MM/yyyy</t>
        </is>
      </c>
    </row>
    <row r="31">
      <c r="A31" s="275" t="inlineStr">
        <is>
          <t>Coupon Model 20-30%</t>
        </is>
      </c>
      <c r="B31" s="275" t="inlineStr">
        <is>
          <t>open</t>
        </is>
      </c>
      <c r="C31" s="275" t="inlineStr">
        <is>
          <t>Discount structure</t>
        </is>
      </c>
      <c r="D31" s="275" t="inlineStr"/>
      <c r="E31" s="275" t="inlineStr">
        <is>
          <t>Medium</t>
        </is>
      </c>
      <c r="F31" s="275" t="inlineStr"/>
      <c r="G31" s="275" t="inlineStr"/>
      <c r="H31" s="275" t="inlineStr"/>
      <c r="I31" s="275" t="inlineStr"/>
      <c r="J31" s="275" t="inlineStr">
        <is>
          <t>Commercial</t>
        </is>
      </c>
      <c r="K31" s="275" t="inlineStr">
        <is>
          <t>dd/MM/yyyy</t>
        </is>
      </c>
    </row>
    <row r="32">
      <c r="A32" s="275" t="inlineStr">
        <is>
          <t>Platform Commission</t>
        </is>
      </c>
      <c r="B32" s="275" t="inlineStr">
        <is>
          <t>open</t>
        </is>
      </c>
      <c r="C32" s="275" t="inlineStr">
        <is>
          <t>Define commission</t>
        </is>
      </c>
      <c r="D32" s="275" t="inlineStr"/>
      <c r="E32" s="275" t="inlineStr">
        <is>
          <t>Medium</t>
        </is>
      </c>
      <c r="F32" s="275" t="inlineStr"/>
      <c r="G32" s="275" t="inlineStr"/>
      <c r="H32" s="275" t="inlineStr"/>
      <c r="I32" s="275" t="inlineStr"/>
      <c r="J32" s="275" t="inlineStr">
        <is>
          <t>Commercial</t>
        </is>
      </c>
      <c r="K32" s="275" t="inlineStr">
        <is>
          <t>dd/MM/yyyy</t>
        </is>
      </c>
    </row>
    <row r="33">
      <c r="A33" s="275" t="inlineStr">
        <is>
          <t>Partner Incentives</t>
        </is>
      </c>
      <c r="B33" s="275" t="inlineStr">
        <is>
          <t>open</t>
        </is>
      </c>
      <c r="C33" s="275" t="inlineStr">
        <is>
          <t>Define incentives</t>
        </is>
      </c>
      <c r="D33" s="275" t="inlineStr"/>
      <c r="E33" s="275" t="inlineStr">
        <is>
          <t>Medium</t>
        </is>
      </c>
      <c r="F33" s="275" t="inlineStr"/>
      <c r="G33" s="275" t="inlineStr"/>
      <c r="H33" s="275" t="inlineStr"/>
      <c r="I33" s="275" t="inlineStr"/>
      <c r="J33" s="275" t="inlineStr">
        <is>
          <t>Commercial</t>
        </is>
      </c>
      <c r="K33" s="275" t="inlineStr">
        <is>
          <t>dd/MM/yyyy</t>
        </is>
      </c>
    </row>
    <row r="34">
      <c r="A34" s="275" t="inlineStr">
        <is>
          <t>Pan India Feedback Campaign</t>
        </is>
      </c>
      <c r="B34" s="275" t="inlineStr">
        <is>
          <t>open</t>
        </is>
      </c>
      <c r="C34" s="275" t="inlineStr">
        <is>
          <t>Collect user feedback</t>
        </is>
      </c>
      <c r="D34" s="275" t="inlineStr"/>
      <c r="E34" s="275" t="inlineStr">
        <is>
          <t>High</t>
        </is>
      </c>
      <c r="F34" s="275" t="inlineStr"/>
      <c r="G34" s="275" t="inlineStr"/>
      <c r="H34" s="275" t="inlineStr"/>
      <c r="I34" s="275" t="inlineStr"/>
      <c r="J34" s="275" t="inlineStr">
        <is>
          <t>Campaign</t>
        </is>
      </c>
      <c r="K34" s="275" t="inlineStr">
        <is>
          <t>dd/MM/yyyy</t>
        </is>
      </c>
    </row>
    <row r="35">
      <c r="A35" s="275" t="inlineStr">
        <is>
          <t>Women Investing Webinars</t>
        </is>
      </c>
      <c r="B35" s="275" t="inlineStr">
        <is>
          <t>open</t>
        </is>
      </c>
      <c r="C35" s="275" t="inlineStr">
        <is>
          <t>Run webinars for women</t>
        </is>
      </c>
      <c r="D35" s="275" t="inlineStr"/>
      <c r="E35" s="275" t="inlineStr">
        <is>
          <t>High</t>
        </is>
      </c>
      <c r="F35" s="275" t="inlineStr"/>
      <c r="G35" s="275" t="inlineStr"/>
      <c r="H35" s="275" t="inlineStr"/>
      <c r="I35" s="275" t="inlineStr"/>
      <c r="J35" s="275" t="inlineStr">
        <is>
          <t>Campaign</t>
        </is>
      </c>
      <c r="K35" s="275" t="inlineStr">
        <is>
          <t>dd/MM/yyyy</t>
        </is>
      </c>
    </row>
    <row r="36">
      <c r="A36" s="275" t="inlineStr">
        <is>
          <t>Buffet Sessions (Founder)</t>
        </is>
      </c>
      <c r="B36" s="275" t="inlineStr">
        <is>
          <t>open</t>
        </is>
      </c>
      <c r="C36" s="275" t="inlineStr">
        <is>
          <t>Founder-led sessions</t>
        </is>
      </c>
      <c r="D36" s="275" t="inlineStr"/>
      <c r="E36" s="275" t="inlineStr">
        <is>
          <t>Medium</t>
        </is>
      </c>
      <c r="F36" s="275" t="inlineStr"/>
      <c r="G36" s="275" t="inlineStr"/>
      <c r="H36" s="275" t="inlineStr"/>
      <c r="I36" s="275" t="inlineStr"/>
      <c r="J36" s="275" t="inlineStr">
        <is>
          <t>Campaign</t>
        </is>
      </c>
      <c r="K36" s="275" t="inlineStr">
        <is>
          <t>dd/MM/yyyy</t>
        </is>
      </c>
    </row>
    <row r="37">
      <c r="A37" s="275" t="inlineStr">
        <is>
          <t>Free Investing Sessions</t>
        </is>
      </c>
      <c r="B37" s="275" t="inlineStr">
        <is>
          <t>open</t>
        </is>
      </c>
      <c r="C37" s="275" t="inlineStr">
        <is>
          <t>General sessions</t>
        </is>
      </c>
      <c r="D37" s="275" t="inlineStr"/>
      <c r="E37" s="275" t="inlineStr">
        <is>
          <t>Medium</t>
        </is>
      </c>
      <c r="F37" s="275" t="inlineStr"/>
      <c r="G37" s="275" t="inlineStr"/>
      <c r="H37" s="275" t="inlineStr"/>
      <c r="I37" s="275" t="inlineStr"/>
      <c r="J37" s="275" t="inlineStr">
        <is>
          <t>Campaign</t>
        </is>
      </c>
      <c r="K37" s="275" t="inlineStr">
        <is>
          <t>dd/MM/yyyy</t>
        </is>
      </c>
    </row>
    <row r="38">
      <c r="A38" s="275" t="n"/>
      <c r="B38" s="275" t="n"/>
      <c r="C38" s="275" t="n"/>
      <c r="D38" s="275" t="n"/>
      <c r="E38" s="275" t="n"/>
      <c r="F38" s="275" t="n"/>
      <c r="G38" s="275" t="n"/>
      <c r="H38" s="275" t="n"/>
      <c r="I38" s="275" t="n"/>
      <c r="J38" s="275" t="n"/>
      <c r="K38" s="275" t="n"/>
    </row>
    <row r="39">
      <c r="A39" s="275" t="n"/>
      <c r="B39" s="275" t="n"/>
      <c r="C39" s="275" t="n"/>
      <c r="D39" s="275" t="n"/>
      <c r="E39" s="275" t="n"/>
      <c r="F39" s="275" t="n"/>
      <c r="G39" s="275" t="n"/>
      <c r="H39" s="275" t="n"/>
      <c r="I39" s="275" t="n"/>
      <c r="J39" s="275" t="n"/>
      <c r="K39" s="275" t="n"/>
    </row>
    <row r="40">
      <c r="A40" s="275" t="n"/>
      <c r="B40" s="275" t="n"/>
      <c r="C40" s="275" t="n"/>
      <c r="D40" s="275" t="n"/>
      <c r="E40" s="275" t="n"/>
      <c r="F40" s="275" t="n"/>
      <c r="G40" s="275" t="n"/>
      <c r="H40" s="275" t="n"/>
      <c r="I40" s="275" t="n"/>
      <c r="J40" s="275" t="n"/>
      <c r="K40" s="275" t="n"/>
    </row>
    <row r="41">
      <c r="A41" s="275" t="n"/>
      <c r="B41" s="275" t="n"/>
      <c r="C41" s="275" t="n"/>
      <c r="D41" s="275" t="n"/>
      <c r="E41" s="275" t="n"/>
      <c r="F41" s="275" t="n"/>
      <c r="G41" s="275" t="n"/>
      <c r="H41" s="275" t="n"/>
      <c r="I41" s="275" t="n"/>
      <c r="J41" s="275" t="n"/>
      <c r="K41" s="275" t="n"/>
    </row>
    <row r="42">
      <c r="A42" s="275" t="n"/>
      <c r="B42" s="275" t="n"/>
      <c r="C42" s="275" t="n"/>
      <c r="D42" s="275" t="n"/>
      <c r="E42" s="275" t="n"/>
      <c r="F42" s="275" t="n"/>
      <c r="G42" s="275" t="n"/>
      <c r="H42" s="275" t="n"/>
      <c r="I42" s="275" t="n"/>
      <c r="J42" s="275" t="n"/>
      <c r="K42" s="275" t="n"/>
    </row>
    <row r="43">
      <c r="A43" s="275" t="n"/>
      <c r="B43" s="275" t="n"/>
      <c r="C43" s="275" t="n"/>
      <c r="D43" s="275" t="n"/>
      <c r="E43" s="275" t="n"/>
      <c r="F43" s="275" t="n"/>
      <c r="G43" s="275" t="n"/>
      <c r="H43" s="275" t="n"/>
      <c r="I43" s="275" t="n"/>
      <c r="J43" s="275" t="n"/>
      <c r="K43" s="275" t="n"/>
    </row>
  </sheetData>
  <autoFilter ref="A1:K37"/>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L25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row>
    <row r="2">
      <c r="A2" s="155" t="inlineStr">
        <is>
          <t>Lead entries rebuilt from the To do tab only. Each row has a same-day next action and a 2d / 4d / 7d follow-up clock.</t>
        </is>
      </c>
    </row>
    <row r="3"/>
    <row r="4" ht="25.5" customHeight="1" s="80">
      <c r="A4" s="161" t="inlineStr">
        <is>
          <t>Lead_ID</t>
        </is>
      </c>
      <c r="B4" s="161" t="inlineStr">
        <is>
          <t>Name</t>
        </is>
      </c>
      <c r="C4" s="161" t="inlineStr">
        <is>
          <t>Company</t>
        </is>
      </c>
      <c r="D4" s="161" t="inlineStr">
        <is>
          <t>Type (CA / Business / Association)</t>
        </is>
      </c>
      <c r="E4" s="161" t="inlineStr">
        <is>
          <t>Tier (A/B/C)</t>
        </is>
      </c>
      <c r="F4" s="161" t="inlineStr">
        <is>
          <t>Stage (New / Contacted / Engaged / Qualified / Converted / Lost)</t>
        </is>
      </c>
      <c r="G4" s="161" t="inlineStr">
        <is>
          <t>Last_Contact_Date</t>
        </is>
      </c>
      <c r="H4" s="161" t="inlineStr">
        <is>
          <t>Next_Action</t>
        </is>
      </c>
      <c r="I4" s="161" t="inlineStr">
        <is>
          <t>Next_Action_Date</t>
        </is>
      </c>
      <c r="J4" s="161" t="inlineStr">
        <is>
          <t>Status (Active / Waiting / No Response / Closed)</t>
        </is>
      </c>
      <c r="K4" s="161" t="inlineStr">
        <is>
          <t>Notes (free text)</t>
        </is>
      </c>
      <c r="L4" t="inlineStr">
        <is>
          <t>Tags</t>
        </is>
      </c>
    </row>
    <row r="5" ht="25.5" customHeight="1" s="80">
      <c r="A5" s="112" t="inlineStr">
        <is>
          <t>TDL-006</t>
        </is>
      </c>
      <c r="B5" s="112" t="inlineStr">
        <is>
          <t>Firoz Alam</t>
        </is>
      </c>
      <c r="C5" s="112" t="inlineStr">
        <is>
          <t>Blinkit</t>
        </is>
      </c>
      <c r="D5" s="112" t="inlineStr">
        <is>
          <t>Association</t>
        </is>
      </c>
      <c r="E5" s="112" t="inlineStr">
        <is>
          <t>A</t>
        </is>
      </c>
      <c r="F5" s="112" t="inlineStr">
        <is>
          <t>Contacted</t>
        </is>
      </c>
      <c r="G5" s="112" t="inlineStr">
        <is>
          <t>2026-05-02</t>
        </is>
      </c>
      <c r="H5" s="185" t="inlineStr">
        <is>
          <t>Hold outside BO/CA Follow-up 1 variant batch; prepare a separate platform-partnership validation angle before Monday execution.</t>
        </is>
      </c>
      <c r="I5" s="185" t="inlineStr">
        <is>
          <t>2026-05-04</t>
        </is>
      </c>
      <c r="J5" s="185" t="inlineStr">
        <is>
          <t>Active</t>
        </is>
      </c>
      <c r="K5" s="185" t="inlineStr">
        <is>
          <t>Channel: firozalam@blinkit.com | Contact: Firoz Alam | Operations head | Seetesh Srivastava Igbc Ap®, Mrics | Director of administration &amp; operations support; Rishabh P. | Director operations | Source: Reach out Blinkit | Decision_Gap: The target already influences a decision moment, but nobody is positioning validation before action. | Email: firozalam@blinkit.com | To do note: Platform partnership outreach | [2026-05-02] Zoho sent: Where high-frequency decisions lack validation | firozalam@blinkit.com | status=success | Source: platform partnership outreach table | SheetStatus: Contacted | LinkedIn: linkedin.com/in/ACoAAASWdMABVr49X_K-5pmD1TfDGnryY9cAvBQ | Company LinkedIn: linkedin.com/company/letsblinkit | Website: blinkit.com | Email: firozalam@blinkit.com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5" t="inlineStr">
        <is>
          <t>Messaging Test Batch 1; Founder Circle Candidate; Founder Circle Day 1-3; Yearly Rs 4,899; No Cold Expansion; Monday Planning; Platform Follow-up Separate Angle</t>
        </is>
      </c>
    </row>
    <row r="6" ht="25.5" customHeight="1" s="80">
      <c r="A6" s="188" t="inlineStr">
        <is>
          <t>TDL-004</t>
        </is>
      </c>
      <c r="B6" s="188" t="inlineStr"/>
      <c r="C6" s="188" t="inlineStr">
        <is>
          <t>Business Owners &gt;2Cr</t>
        </is>
      </c>
      <c r="D6" s="188" t="inlineStr">
        <is>
          <t>Business</t>
        </is>
      </c>
      <c r="E6" s="188" t="inlineStr">
        <is>
          <t>A</t>
        </is>
      </c>
      <c r="F6" s="188" t="inlineStr">
        <is>
          <t>New</t>
        </is>
      </c>
      <c r="G6" s="188" t="inlineStr"/>
      <c r="H6" s="189" t="inlineStr">
        <is>
          <t>2026-05-04 mandate: complete Follow-up 1 for contacted Tier A owners first (Nahar, Deep, Tirupati, Star Delta, Righill, Kumaran); then send the verified unsent owner/CMD batch only in the listed order.</t>
        </is>
      </c>
      <c r="I6" s="189" t="inlineStr">
        <is>
          <t>2026-05-04</t>
        </is>
      </c>
      <c r="J6" s="189" t="inlineStr">
        <is>
          <t>Active</t>
        </is>
      </c>
      <c r="K6" s="189" t="inlineStr">
        <is>
          <t>Tier A order is fixed: Nahar official site route, Deep/Sandeep computer retail route, Tirupati Sumit owner route, Star Delta CMD/CS route, Righill director/company route, Kumaran sales/Hemakar route. Decision_Gap: force each owner to name one stock, supplier, credit, capex, quote, or project commitment that looked rational before validation was missing. No Tier B expansion until outcomes are logged. | [2026-05-03 overnight route cleanup] Deep public office route now includes deep_buildurpc@yahoo.co.in, deep_buildpc@yahoo.co.in, 0755-4292404, 9826264454, and 9826072805; Kumaran route adds hemakars@kumaranindustries.com from public contact page. Keep these as fallback/parallel routing after first-wave follow-up logging, not as expansion volume. | [2026-05-03 main-chat sync] May 4 priority follow-up synced to Notion; sheet remains source of truth.</t>
        </is>
      </c>
      <c r="L6" t="inlineStr">
        <is>
          <t>Tier A Execution Gate; Follow-up 1; Verified Public Route; No Cold Expansion; Phone-First Kakda; Overnight 2026-05-03 | Deep Office Route; Kumaran Hemakar Route</t>
        </is>
      </c>
    </row>
    <row r="7" ht="25.5" customHeight="1" s="80">
      <c r="A7" s="188" t="inlineStr">
        <is>
          <t>TDL-003</t>
        </is>
      </c>
      <c r="B7" s="188" t="inlineStr"/>
      <c r="C7" s="188" t="inlineStr">
        <is>
          <t>CA Associations</t>
        </is>
      </c>
      <c r="D7" s="188" t="inlineStr">
        <is>
          <t>CA</t>
        </is>
      </c>
      <c r="E7" s="188" t="inlineStr">
        <is>
          <t>A</t>
        </is>
      </c>
      <c r="F7" s="188" t="inlineStr">
        <is>
          <t>Contacted</t>
        </is>
      </c>
      <c r="G7" s="188" t="inlineStr">
        <is>
          <t>2026-05-02</t>
        </is>
      </c>
      <c r="H7" s="189" t="inlineStr">
        <is>
          <t>2026-05-04 mandate: log Arpit/Abhishek Follow-up 1, then Milind follow-up/Indore routing; use Samank/Mausam/Samkit as ownership checks before any large-branch expansion.</t>
        </is>
      </c>
      <c r="I7" s="189" t="inlineStr">
        <is>
          <t>2026-05-04</t>
        </is>
      </c>
      <c r="J7" s="189" t="inlineStr">
        <is>
          <t>Active</t>
        </is>
      </c>
      <c r="K7" s="189" t="inlineStr">
        <is>
          <t>CA order is fixed: Bhopal chair Arpit and secretary Abhishek first; Milind as contacted Indore route second; Samkit confirms 2026-27 Indore handover only after those outcomes. Public CIRC Bhopal PDF gives direct mobiles/emails, branch phone, branch inbox, and staff backup. Decision_Gap: ask which client committed capital with confidence and inputs but no decision-validation step before action. | [2026-05-03 overnight route cleanup] Indore 2025-26 official PDF lists Narayan Somani with canarayansomani@gmail.com, office 7987732920, mobile 9630414336; FPJ reports Samkit president and Narayan secretary for 2026-27. Use Narayan only after Milind/Samkit handover logic, not before Bhopal follow-ups. | [2026-05-03 main-chat sync] May 4 priority follow-up synced to Notion; sheet remains source of truth.</t>
        </is>
      </c>
      <c r="L7" t="inlineStr">
        <is>
          <t>Tier A Execution Gate; Follow-up 1; Verified Public Route; Current CA Hierarchy; No Cold Expansion; Overnight 2026-05-03 | Narayan Somani Route; Indore Handover</t>
        </is>
      </c>
    </row>
    <row r="8" ht="25.5" customHeight="1" s="80">
      <c r="A8" s="112" t="inlineStr">
        <is>
          <t>TDL-005</t>
        </is>
      </c>
      <c r="B8" s="112" t="inlineStr">
        <is>
          <t>Shoumyan Biswas</t>
        </is>
      </c>
      <c r="C8" s="112" t="inlineStr">
        <is>
          <t>Practo</t>
        </is>
      </c>
      <c r="D8" s="112" t="inlineStr">
        <is>
          <t>Association</t>
        </is>
      </c>
      <c r="E8" s="112" t="inlineStr">
        <is>
          <t>A</t>
        </is>
      </c>
      <c r="F8" s="112" t="inlineStr">
        <is>
          <t>Contacted</t>
        </is>
      </c>
      <c r="G8" s="112" t="inlineStr">
        <is>
          <t>2026-05-02</t>
        </is>
      </c>
      <c r="H8" s="185" t="inlineStr">
        <is>
          <t>Hold outside BO/CA Follow-up 1 variant batch; prepare a separate platform-partnership validation angle before Monday execution.</t>
        </is>
      </c>
      <c r="I8" s="185" t="inlineStr">
        <is>
          <t>2026-05-04</t>
        </is>
      </c>
      <c r="J8" s="185" t="inlineStr">
        <is>
          <t>Active</t>
        </is>
      </c>
      <c r="K8" s="185" t="inlineStr">
        <is>
          <t>Channel: shoumyan.biswas@practo.com | Contact: Shoumyan Biswas | Global chief marketing and strategy officer | Kayshel Ophelia Fernandes | Associate director - communications &amp; public relations; Jay B. | Manager - strategy &amp; operations, ceo's office | Source: Reach out Practo | Decision_Gap: The target already influences a decision moment, but nobody is positioning validation before action. | Email: shoumyan.biswas@practo.com | To do note: Platform partnership outreach | [2026-05-02] Zoho sent: Where user trust doesn’t convert fully | shoumyan.biswas@practo.com | status=success | Source: platform partnership outreach table | SheetStatus: Contacted | LinkedIn: linkedin.com/in/ACoAAAePDp0BIhqdmPD_PeQYYCZa_sbDlyzNKkE | Company LinkedIn: linkedin.com/company/practo-technologies-pvt-ltd | Website: practo.com | Email: shoumyan.biswas@practo.com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8" t="inlineStr">
        <is>
          <t>Messaging Test Batch 1; Founder Circle Candidate; Founder Circle Day 1-3; Yearly Rs 4,899; No Cold Expansion; Monday Planning; Platform Follow-up Separate Angle</t>
        </is>
      </c>
    </row>
    <row r="9" ht="25.5" customHeight="1" s="80">
      <c r="A9" s="112" t="inlineStr">
        <is>
          <t>TDL-008</t>
        </is>
      </c>
      <c r="B9" s="112" t="inlineStr">
        <is>
          <t>Saurav Goyal</t>
        </is>
      </c>
      <c r="C9" s="112" t="inlineStr">
        <is>
          <t>Swiggy</t>
        </is>
      </c>
      <c r="D9" s="112" t="inlineStr">
        <is>
          <t>Association</t>
        </is>
      </c>
      <c r="E9" s="112" t="inlineStr">
        <is>
          <t>A</t>
        </is>
      </c>
      <c r="F9" s="112" t="inlineStr">
        <is>
          <t>Contacted</t>
        </is>
      </c>
      <c r="G9" s="112" t="inlineStr">
        <is>
          <t>2026-05-02</t>
        </is>
      </c>
      <c r="H9" s="185" t="inlineStr">
        <is>
          <t>Hold outside BO/CA Follow-up 1 variant batch; prepare a separate platform-partnership validation angle before Monday execution.</t>
        </is>
      </c>
      <c r="I9" s="185" t="inlineStr">
        <is>
          <t>2026-05-04</t>
        </is>
      </c>
      <c r="J9" s="185" t="inlineStr">
        <is>
          <t>Active</t>
        </is>
      </c>
      <c r="K9" s="185" t="inlineStr">
        <is>
          <t>Channel: saurav.goyal@swiggy.in | Contact: Saurav Goyal | Senior vice president - driver and delivery product &amp; operations | Shilpi Srivastav | Brand &amp; revenue head - noice; Shikhar Baveja | Director - planning and sales operations | Source: Reach out Swiggy | Decision_Gap: The target already influences a decision moment, but nobody is positioning validation before action. | Email: saurav.goyal@swiggy.in | To do note: Platform partnership outreach | [2026-05-02] Zoho draft created: Where user decisions still outrun validation | saurav.goyal@swiggy.in | [2026-05-02] Email sent via Zoho | to=saurav.goyal@swiggy.in | message_id=1777722586505013400 | Source: platform partnership outreach table | SheetStatus: Not Contacted | LinkedIn: linkedin.com/in/ACoAAAGpukwBQfzAD4Mrksj5WYI4Kls0OH6IIiE | Company LinkedIn: linkedin.com/company/swiggy-in | Website: careers.swiggy.com | Email: saurav.goyal@swiggy.in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9" t="inlineStr">
        <is>
          <t>Messaging Test Batch 1; Founder Circle Candidate; Founder Circle Day 1-3; Yearly Rs 4,899; No Cold Expansion; Monday Planning; Platform Follow-up Separate Angle</t>
        </is>
      </c>
    </row>
    <row r="10" ht="25.5" customHeight="1" s="80">
      <c r="A10" s="112" t="inlineStr">
        <is>
          <t>TDL-007</t>
        </is>
      </c>
      <c r="B10" s="112" t="inlineStr">
        <is>
          <t>Abhimanyu Goyal</t>
        </is>
      </c>
      <c r="C10" s="112" t="inlineStr">
        <is>
          <t>Zomato</t>
        </is>
      </c>
      <c r="D10" s="112" t="inlineStr">
        <is>
          <t>Association</t>
        </is>
      </c>
      <c r="E10" s="112" t="inlineStr">
        <is>
          <t>A</t>
        </is>
      </c>
      <c r="F10" s="112" t="inlineStr">
        <is>
          <t>Contacted</t>
        </is>
      </c>
      <c r="G10" s="112" t="inlineStr">
        <is>
          <t>2026-05-02</t>
        </is>
      </c>
      <c r="H10" s="185" t="inlineStr">
        <is>
          <t>Hold outside BO/CA Follow-up 1 variant batch; prepare a separate platform-partnership validation angle before Monday execution.</t>
        </is>
      </c>
      <c r="I10" s="185" t="inlineStr">
        <is>
          <t>2026-05-04</t>
        </is>
      </c>
      <c r="J10" s="185" t="inlineStr">
        <is>
          <t>Active</t>
        </is>
      </c>
      <c r="K10" s="185" t="inlineStr">
        <is>
          <t>Channel: abhimanyu.goyal@zomato.com | Contact: Abhimanyu Goyal | Cluster logs leader / chief operating officer | Ujwal Kumar | Director supply chain operations; Bhargav Yellapragada | Chief operating officer | Source: Reach out Zomato | Decision_Gap: The target already influences a decision moment, but nobody is positioning validation before action. | Email: abhimanyu.goyal@zomato.com | To do note: Platform partnership outreach | [2026-05-02] Zoho sent: Where high-intent users still don’t validate decisions | abhimanyu.goyal@zomato.com | status=success | Source: platform partnership outreach table | SheetStatus: Contacted | LinkedIn: linkedin.com/in/ACoAACcL4ysBxztc1XDYyDzZKieXn66hIH-Bx84 | Company LinkedIn: linkedin.com/company/zomato | Website: zomato.com | Email: abhimanyu.goyal@zomato.com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10" t="inlineStr">
        <is>
          <t>Messaging Test Batch 1; Founder Circle Candidate; Founder Circle Day 1-3; Yearly Rs 4,899; No Cold Expansion; Monday Planning; Platform Follow-up Separate Angle</t>
        </is>
      </c>
    </row>
    <row r="11" ht="25.5" customHeight="1" s="80">
      <c r="A11" s="112" t="inlineStr">
        <is>
          <t>TDL-002</t>
        </is>
      </c>
      <c r="B11" s="112" t="inlineStr"/>
      <c r="C11" s="112" t="inlineStr">
        <is>
          <t>Business Associations</t>
        </is>
      </c>
      <c r="D11" s="112" t="inlineStr">
        <is>
          <t>Association</t>
        </is>
      </c>
      <c r="E11" s="112" t="inlineStr">
        <is>
          <t>B</t>
        </is>
      </c>
      <c r="F11" s="112" t="inlineStr">
        <is>
          <t>New</t>
        </is>
      </c>
      <c r="G11" s="112" t="inlineStr"/>
      <c r="H11" s="185" t="inlineStr">
        <is>
          <t>Shortlist trade bodies with owner-heavy membership and map who can approve a pilot conversation.</t>
        </is>
      </c>
      <c r="I11" s="185" t="inlineStr">
        <is>
          <t>2026-05-02</t>
        </is>
      </c>
      <c r="J11" s="185" t="inlineStr">
        <is>
          <t>Waiting</t>
        </is>
      </c>
      <c r="K11" s="185" t="inlineStr">
        <is>
          <t>Channel: Email + LinkedIn research | Contact: Association president / secretary | Source: Contact Business Associations | Decision_Gap: Business groups discuss growth and expansion, but not the hidden cost of acting on confidence without validation. | Tier B partnership group. | To do note: Outreach to business associations</t>
        </is>
      </c>
    </row>
    <row r="12" ht="25.5" customHeight="1" s="80">
      <c r="A12" s="112" t="inlineStr">
        <is>
          <t>TDL-011</t>
        </is>
      </c>
      <c r="B12" s="112" t="inlineStr"/>
      <c r="C12" s="112" t="inlineStr">
        <is>
          <t>Data Providers</t>
        </is>
      </c>
      <c r="D12" s="112" t="inlineStr">
        <is>
          <t>Association</t>
        </is>
      </c>
      <c r="E12" s="112" t="inlineStr">
        <is>
          <t>B</t>
        </is>
      </c>
      <c r="F12" s="112" t="inlineStr">
        <is>
          <t>New</t>
        </is>
      </c>
      <c r="G12" s="112" t="inlineStr"/>
      <c r="H12" s="185" t="inlineStr">
        <is>
          <t>Identify data sources that can enrich platform and institutional contact discovery immediately.</t>
        </is>
      </c>
      <c r="I12" s="185" t="inlineStr">
        <is>
          <t>2026-05-02</t>
        </is>
      </c>
      <c r="J12" s="185" t="inlineStr">
        <is>
          <t>Waiting</t>
        </is>
      </c>
      <c r="K12" s="185" t="inlineStr">
        <is>
          <t>Channel: Email | Contact: Business development lead | Source: Talk to Data Providers | Decision_Gap: Lead quality bottlenecks are operational, not awareness-led, because decision-maker data is still thin. | External target but lower urgency. | To do note: Direct outreach to data providers</t>
        </is>
      </c>
    </row>
    <row r="13" ht="25.5" customHeight="1" s="80">
      <c r="A13" s="112" t="inlineStr">
        <is>
          <t>TDL-001</t>
        </is>
      </c>
      <c r="B13" s="112" t="inlineStr"/>
      <c r="C13" s="112" t="inlineStr">
        <is>
          <t>Doctor Associations</t>
        </is>
      </c>
      <c r="D13" s="112" t="inlineStr">
        <is>
          <t>Association</t>
        </is>
      </c>
      <c r="E13" s="112" t="inlineStr">
        <is>
          <t>B</t>
        </is>
      </c>
      <c r="F13" s="112" t="inlineStr">
        <is>
          <t>New</t>
        </is>
      </c>
      <c r="G13" s="112" t="inlineStr"/>
      <c r="H13" s="185" t="inlineStr">
        <is>
          <t>Identify the most active doctor associations in MP and open with a member-value angle, not a generic workshop pitch.</t>
        </is>
      </c>
      <c r="I13" s="185" t="inlineStr">
        <is>
          <t>2026-05-02</t>
        </is>
      </c>
      <c r="J13" s="185" t="inlineStr">
        <is>
          <t>Waiting</t>
        </is>
      </c>
      <c r="K13" s="185" t="inlineStr">
        <is>
          <t>Channel: Email + WhatsApp research | Contact: Association office bearer | Source: Contact Doctor Associations | Decision_Gap: Doctors advise life and money decisions under trust, yet association communities rarely surface how poor financial judgment compounds over time. | Tier B until CA and platform outreach is moving. | To do note: Outreach to doctor associations</t>
        </is>
      </c>
    </row>
    <row r="14" ht="25.5" customHeight="1" s="80">
      <c r="A14" s="112" t="inlineStr">
        <is>
          <t>TDL-009</t>
        </is>
      </c>
      <c r="B14" s="112" t="inlineStr">
        <is>
          <t>Kenneth Saldanha</t>
        </is>
      </c>
      <c r="C14" s="112" t="inlineStr">
        <is>
          <t>Mygate</t>
        </is>
      </c>
      <c r="D14" s="112" t="inlineStr">
        <is>
          <t>Association</t>
        </is>
      </c>
      <c r="E14" s="112" t="inlineStr">
        <is>
          <t>B</t>
        </is>
      </c>
      <c r="F14" s="112" t="inlineStr">
        <is>
          <t>Contacted</t>
        </is>
      </c>
      <c r="G14" s="112" t="inlineStr">
        <is>
          <t>2026-05-02</t>
        </is>
      </c>
      <c r="H14" s="185" t="inlineStr">
        <is>
          <t>Follow-up 1 for platform partnership outreach if no reply</t>
        </is>
      </c>
      <c r="I14" s="185" t="inlineStr">
        <is>
          <t>2026-05-04</t>
        </is>
      </c>
      <c r="J14" s="185" t="inlineStr">
        <is>
          <t>Active</t>
        </is>
      </c>
      <c r="K14" s="185" t="inlineStr">
        <is>
          <t>Channel: kenneth.saldanha@mygate.com | Contact: Kenneth Saldanha | Director - marketing | Source: Reach out MyGate | Decision_Gap: The target already influences a decision moment, but nobody is positioning validation before action. | Email: kenneth.saldanha@mygate.com | To do note: Platform partnership outreach | [2026-05-02] Zoho sent: Where high-trust users still don’t validate decisions | kenneth.saldanha@mygate.com | status=success | Source: platform partnership outreach table | SheetStatus: Contacted | LinkedIn: linkedin.com/in/ACoAAA-bMaQBVMD-qix9dFtM6jjRwPi2-ux_e0M | Company LinkedIn: linkedin.com/company/mygatecom | Website: mygate.com | Email: kenneth.saldanha@mygate.com | Mobile: missing | [2026-05-02] Platform partnership source row refreshed</t>
        </is>
      </c>
    </row>
    <row r="15" ht="25.5" customHeight="1" s="80">
      <c r="A15" s="112" t="inlineStr">
        <is>
          <t>TDL-010</t>
        </is>
      </c>
      <c r="B15" s="112" t="inlineStr"/>
      <c r="C15" s="112" t="inlineStr">
        <is>
          <t>Restaurant Partners</t>
        </is>
      </c>
      <c r="D15" s="112" t="inlineStr">
        <is>
          <t>Association</t>
        </is>
      </c>
      <c r="E15" s="112" t="inlineStr">
        <is>
          <t>B</t>
        </is>
      </c>
      <c r="F15" s="112" t="inlineStr">
        <is>
          <t>New</t>
        </is>
      </c>
      <c r="G15" s="112" t="inlineStr"/>
      <c r="H15" s="185" t="inlineStr">
        <is>
          <t>Define the first five restaurant partner profiles and test QR or event-driven partnership angles.</t>
        </is>
      </c>
      <c r="I15" s="185" t="inlineStr">
        <is>
          <t>2026-05-02</t>
        </is>
      </c>
      <c r="J15" s="185" t="inlineStr">
        <is>
          <t>Waiting</t>
        </is>
      </c>
      <c r="K15" s="185" t="inlineStr">
        <is>
          <t>Channel: Phone + in-person outreach | Contact: Founder / partnerships lead | Source: Restaurant Partnerships | Decision_Gap: Restaurants sit at repeated spending decisions but are not being used as trust surfaces for better financial judgment. | Keep Tier B. | To do note: Tie up with restaurants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s="188" t="inlineStr">
        <is>
          <t>SCR-CA-001</t>
        </is>
      </c>
      <c r="B69" s="188" t="inlineStr">
        <is>
          <t>CA Samank Mohabe / Manoj Chakraborty</t>
        </is>
      </c>
      <c r="C69" s="188" t="inlineStr">
        <is>
          <t>Bhopal Branch of CIRC of ICAI</t>
        </is>
      </c>
      <c r="D69" s="188" t="inlineStr">
        <is>
          <t>CA</t>
        </is>
      </c>
      <c r="E69" s="188" t="inlineStr">
        <is>
          <t>A</t>
        </is>
      </c>
      <c r="F69" s="188" t="inlineStr">
        <is>
          <t>New</t>
        </is>
      </c>
      <c r="G69" s="188" t="inlineStr"/>
      <c r="H69" s="188" t="inlineStr">
        <is>
          <t>After Arpit/Abhishek Follow-up 1 is logged, use Samank Mohabe only as branch-chair ownership check; ask whether he or the current secretary should sponsor a member decision-validation conversation.</t>
        </is>
      </c>
      <c r="I69" s="188" t="inlineStr">
        <is>
          <t>2026-05-04</t>
        </is>
      </c>
      <c r="J69" s="188" t="inlineStr">
        <is>
          <t>Active</t>
        </is>
      </c>
      <c r="K69" s="188" t="inlineStr">
        <is>
          <t>Channel: camohabesamank@gmail.com | bhopal@icai.org | icaibhopalbranch@gmail.com | Mobile 8109351314 | Branch phone 07554908462 | Staff Manoj Chakraborty 9131475919 | Contact: CA Samank Mohabe. CIRC branch-chair table confirms Samank route; Bhopal 2025-26 PDF confirms branch office routes. Decision_Gap: chair route should validate branch ownership, not receive a broad pitch.</t>
        </is>
      </c>
      <c r="L69" t="inlineStr">
        <is>
          <t>Priority Routing Check; Ownership Check; Verified Public Route; Overnight 2026-05-03</t>
        </is>
      </c>
    </row>
    <row r="70">
      <c r="A70" s="188" t="inlineStr">
        <is>
          <t>SCR-CA-002</t>
        </is>
      </c>
      <c r="B70" s="188" t="inlineStr">
        <is>
          <t>Arpit Rai</t>
        </is>
      </c>
      <c r="C70" s="188" t="inlineStr">
        <is>
          <t>Bhopal Branch of CIRC of ICAI</t>
        </is>
      </c>
      <c r="D70" s="188" t="inlineStr">
        <is>
          <t>CA</t>
        </is>
      </c>
      <c r="E70" s="188" t="inlineStr">
        <is>
          <t>A</t>
        </is>
      </c>
      <c r="F70" s="188" t="inlineStr">
        <is>
          <t>Contacted</t>
        </is>
      </c>
      <c r="G70" s="188" t="inlineStr">
        <is>
          <t>2026-05-02</t>
        </is>
      </c>
      <c r="H70" s="188" t="inlineStr">
        <is>
          <t>Follow-up 1 on 2026-05-04: send Arpit the branch-chair Process Audit variant, then call mobile only if no email reply; ask who owns a 15-minute member test on client decisions before capital moves.</t>
        </is>
      </c>
      <c r="I70" s="188" t="inlineStr">
        <is>
          <t>2026-05-04</t>
        </is>
      </c>
      <c r="J70" s="188" t="inlineStr">
        <is>
          <t>Active</t>
        </is>
      </c>
      <c r="K70" s="188" t="inlineStr">
        <is>
          <t>Channel: arpit.rai07@gmail.com | Mobile: 9406541241 | Office: 0755-4902128 | Branch: bhopal@icai.org / 07554908462 | Staff backup: Manoj Chakraborty 9131475919. Source: CIRC Bhopal 2025-26 office-bearer PDF. Decision_Gap: chair route should sponsor decision-validation conversation, not a generic education/tool pitch.</t>
        </is>
      </c>
      <c r="L70" t="inlineStr">
        <is>
          <t>Messaging Test Batch 1; Follow-up 1; Verified Public Route; Tier A First Wave; Bhopal Chair; Overnight 2026-05-03</t>
        </is>
      </c>
    </row>
    <row r="71">
      <c r="A71" s="188" t="inlineStr">
        <is>
          <t>SCR-CA-003</t>
        </is>
      </c>
      <c r="B71" s="188" t="inlineStr">
        <is>
          <t>Abhishek Jain</t>
        </is>
      </c>
      <c r="C71" s="188" t="inlineStr">
        <is>
          <t>Bhopal Branch of CIRC of ICAI</t>
        </is>
      </c>
      <c r="D71" s="188" t="inlineStr">
        <is>
          <t>CA</t>
        </is>
      </c>
      <c r="E71" s="188" t="inlineStr">
        <is>
          <t>A</t>
        </is>
      </c>
      <c r="F71" s="188" t="inlineStr">
        <is>
          <t>Contacted</t>
        </is>
      </c>
      <c r="G71" s="188" t="inlineStr">
        <is>
          <t>2026-05-02</t>
        </is>
      </c>
      <c r="H71" s="188" t="inlineStr">
        <is>
          <t>Follow-up 1 on 2026-05-04: send Abhishek the Advisor/CA variant; if no reply, use branch phone/staff backup and ask for the operational owner for a member decision-validation conversation.</t>
        </is>
      </c>
      <c r="I71" s="188" t="inlineStr">
        <is>
          <t>2026-05-04</t>
        </is>
      </c>
      <c r="J71" s="188" t="inlineStr">
        <is>
          <t>Active</t>
        </is>
      </c>
      <c r="K71" s="188" t="inlineStr">
        <is>
          <t>Channel: caabhishek108@gmail.com | Mobile: 8109583831 | Office: 0755-4938831 | Branch: bhopal@icai.org / 07554908462 | Staff backup: Manoj Chakraborty 9131475919. Source: CIRC Bhopal 2025-26 office-bearer PDF. Decision_Gap: secretary route is strongest if framed around clients acting before decisions are validated.</t>
        </is>
      </c>
      <c r="L71" t="inlineStr">
        <is>
          <t>Messaging Test Batch 1; Follow-up 1; Verified Public Route; Tier A First Wave; Bhopal Secretary; Overnight 2026-05-03</t>
        </is>
      </c>
    </row>
    <row r="72">
      <c r="A72" s="188" t="inlineStr">
        <is>
          <t>SCR-CA-004</t>
        </is>
      </c>
      <c r="B72" s="188" t="inlineStr">
        <is>
          <t>CA Mausam Rathi / Indore Branch Office</t>
        </is>
      </c>
      <c r="C72" s="188" t="inlineStr">
        <is>
          <t>Indore Branch of CIRC of ICAI</t>
        </is>
      </c>
      <c r="D72" s="188" t="inlineStr">
        <is>
          <t>CA</t>
        </is>
      </c>
      <c r="E72" s="188" t="inlineStr">
        <is>
          <t>A</t>
        </is>
      </c>
      <c r="F72" s="188" t="inlineStr">
        <is>
          <t>New</t>
        </is>
      </c>
      <c r="G72" s="188" t="inlineStr"/>
      <c r="H72" s="188" t="inlineStr">
        <is>
          <t>Use Mausam Rathi only as a CIRC branch-chair-table ownership check after Bhopal/Milind touches; ask whether Samkit/Narayan should own current Indore handover.</t>
        </is>
      </c>
      <c r="I72" s="188" t="inlineStr">
        <is>
          <t>2026-05-04</t>
        </is>
      </c>
      <c r="J72" s="188" t="inlineStr">
        <is>
          <t>Active</t>
        </is>
      </c>
      <c r="K72" s="188" t="inlineStr">
        <is>
          <t>Channel: camausamrathi@gmail.com; indore@icai.in; indore@icai.org | Mobile 9584604565 | Contact: CA Mausam Rathi | Indore branch-chair route in CIRC branch-chair table; Indore office Suresh Tiwari route 0731-2570052/53 and 7581011108. | Source: CIRC branch-chair table https://circ.icai.org/4245-2/ and Indore office contact page refreshed 2026-05-03. | Decision_Gap: Indore CAs advise businesses that act with data and confidence but often lack independent validation of the decision itself. | Ownership-check route only; hold until Bhopal follow-ups are logged. | [2026-05-03 overnight priority enrichment] Indore CIRC PDF support route corrected to branch phone 0731-4298198 / 2570052-53 and staff Suresh Tiwari mobile 9303813511; keep Mausam as ownership check after Milind/Samkit routing. | [2026-05-03 overnight priority enrichment] CIRC branch-chair table lists Mausam/Indore emails, but current Indore handover signal points to Samkit/Narayan. Keep Mausam as support check, not primary current president route. | [2026-05-03 overnight route cleanup] If Indore branch office routing is needed, keep Suresh Tiwari/branch inbox as admin backup; direct 2026-27 ownership should be tested through Samkit/Narayan after Milind, not by treating Mausam as current owner.</t>
        </is>
      </c>
      <c r="L72" t="inlineStr">
        <is>
          <t>Priority Routing Check; Ownership Check | Indore Admin Backup</t>
        </is>
      </c>
    </row>
    <row r="73">
      <c r="A73" s="188" t="inlineStr">
        <is>
          <t>SCR-CA-005</t>
        </is>
      </c>
      <c r="B73" s="188" t="inlineStr">
        <is>
          <t>Rajat Dhanuka</t>
        </is>
      </c>
      <c r="C73" s="188" t="inlineStr">
        <is>
          <t>Indore Branch of CIRC of ICAI</t>
        </is>
      </c>
      <c r="D73" s="188" t="inlineStr">
        <is>
          <t>CA</t>
        </is>
      </c>
      <c r="E73" s="188" t="inlineStr">
        <is>
          <t>B</t>
        </is>
      </c>
      <c r="F73" s="188" t="inlineStr">
        <is>
          <t>New</t>
        </is>
      </c>
      <c r="G73" s="188" t="n"/>
      <c r="H73" s="188" t="inlineStr">
        <is>
          <t>Hold Rajat as prior-chair/support route. Do not follow up as contacted unless a direct send is logged; use only if Samkit/Mausam/Milind ownership routing stalls.</t>
        </is>
      </c>
      <c r="I73" s="188" t="inlineStr">
        <is>
          <t>2026-05-05</t>
        </is>
      </c>
      <c r="J73" s="188" t="inlineStr">
        <is>
          <t>Waiting</t>
        </is>
      </c>
      <c r="K73" s="188" t="inlineStr">
        <is>
          <t>Channel: DHANUKA_RAJ17@YAHOO.CO.IN | Contact: CA Rajat Dhanuka | Chairman, Indore Branch of CIRC of ICAI | Mobile 9425911336 | Office 8817593392 | Source: Contact CA Associations | Decision_Gap: Chair-level buy-in depends on seeing Fnomo as a preventive decision-quality layer for members and their clients. | Verified public CIRC Indore Office Bearer PDF 2025-2026. | [2026-05-02] Zoho draft created: A practical member conversation for Indore | milind.wadhwani20@gmail.com | [2026-05-02] Email sent via Zoho | to=milind.wadhwani20@gmail.com | message_id=1777722594245010900 | [2026-05-02 evening] FPJ 2026-27 Indore election report lists CA Rajat Dhanuka as executive member, not current president/secretary; keep as warm routed contact, not primary authority. | [2026-05-02 night] CIRC Indore 2025-26 PDF verifies Rajat Dhanuka as chairman for that term: 9425911336, DHANUKA_RAJ17@YAHOO.CO.IN; current Indore site shows Samkit as chairman. | [2026-05-03] Messaging Test Batch 1: Version A: client mistake / advisory-risk trigger; pause cold expansion; goal is first reply signal. | [2026-05-03 overnight priority enrichment] CRM correction: the 2026-05-02 Zoho send recorded in this row went to milind.wadhwani20@gmail.com, not Rajat. Rajat is retained as a public 2025-26 chair/support route, not an active contacted lead. | [2026-05-03 main-chat sync] May 4 priority follow-up synced to Notion; sheet remains source of truth.</t>
        </is>
      </c>
      <c r="L73" t="inlineStr">
        <is>
          <t>CA support route; Priority Follow-up Sync</t>
        </is>
      </c>
    </row>
    <row r="74">
      <c r="A74" s="188" t="inlineStr">
        <is>
          <t>SCR-CA-006</t>
        </is>
      </c>
      <c r="B74" s="188" t="inlineStr">
        <is>
          <t>Vinod Patel</t>
        </is>
      </c>
      <c r="C74" s="188" t="inlineStr">
        <is>
          <t>Jabalpur Branch of CIRC of ICAI</t>
        </is>
      </c>
      <c r="D74" s="188" t="inlineStr">
        <is>
          <t>CA</t>
        </is>
      </c>
      <c r="E74" s="188" t="inlineStr">
        <is>
          <t>B</t>
        </is>
      </c>
      <c r="F74" s="188" t="inlineStr">
        <is>
          <t>New</t>
        </is>
      </c>
      <c r="G74" s="188" t="inlineStr"/>
      <c r="H74" s="188" t="inlineStr">
        <is>
          <t>Add Jabalpur as the next CA branch after Bhopal and Indore, with branch and chairman contact paths ready; do not send before Tier A first-wave contacts are touched.</t>
        </is>
      </c>
      <c r="I74" s="188" t="inlineStr">
        <is>
          <t>2026-05-04</t>
        </is>
      </c>
      <c r="J74" s="188" t="inlineStr">
        <is>
          <t>Waiting</t>
        </is>
      </c>
      <c r="K74" s="188" t="inlineStr">
        <is>
          <t>Channel: jabalpur@icai.org | jabalpuricai@gmail.com | 9981230021 | Contact: Vinod Patel | Branch staff contact | Source: Contact CA Associations | Decision_Gap: Branch-led CA distribution can scale only if the first few city-level wins are converted into trust quickly. | Jabalpur branch official contact. | Hold until first-wave Tier A sends are completed or scale/role is verified. | [2026-05-03 Sunday planning rule] Sunday is planning-only; moved execution due action to 2026-05-04.</t>
        </is>
      </c>
    </row>
    <row r="75">
      <c r="A75" s="188" t="inlineStr">
        <is>
          <t>SCR-CA-007</t>
        </is>
      </c>
      <c r="B75" s="188" t="inlineStr">
        <is>
          <t>Kailash Chandra Agrawal</t>
        </is>
      </c>
      <c r="C75" s="188" t="inlineStr">
        <is>
          <t>Jabalpur Branch of CIRC of ICAI</t>
        </is>
      </c>
      <c r="D75" s="188" t="inlineStr">
        <is>
          <t>CA</t>
        </is>
      </c>
      <c r="E75" s="188" t="inlineStr">
        <is>
          <t>B</t>
        </is>
      </c>
      <c r="F75" s="188" t="inlineStr">
        <is>
          <t>New</t>
        </is>
      </c>
      <c r="G75" s="188" t="inlineStr"/>
      <c r="H75" s="188" t="inlineStr">
        <is>
          <t>Prepare chairman outreach for Jabalpur as a second-wave CA branch target once Bhopal/Indore moves; do not send before Tier A first-wave contacts are touched.</t>
        </is>
      </c>
      <c r="I75" s="188" t="inlineStr">
        <is>
          <t>2026-05-04</t>
        </is>
      </c>
      <c r="J75" s="188" t="inlineStr">
        <is>
          <t>Waiting</t>
        </is>
      </c>
      <c r="K75" s="188" t="inlineStr">
        <is>
          <t>Channel: kcaca@rediffmail.com; kcajbp@gmail.com | Contact: Chairman | Mobile 9425153619 | Source: Contact CA Associations | Decision_Gap: Local chairmen are useful second-wave distribution nodes after the first-city narrative is sharpened. | Jabalpur Branch office bearer 2025-2026. | Hold until first-wave Tier A sends are completed or scale/role is verified. | [2026-05-03 Sunday planning rule] Sunday is planning-only; moved execution due action to 2026-05-04.</t>
        </is>
      </c>
    </row>
    <row r="76">
      <c r="A76" s="188" t="inlineStr">
        <is>
          <t>SCR-BO-001</t>
        </is>
      </c>
      <c r="B76" s="188" t="inlineStr">
        <is>
          <t>Sandeep Wadhwani</t>
        </is>
      </c>
      <c r="C76" s="188" t="inlineStr">
        <is>
          <t>Sandeep Wadhwani</t>
        </is>
      </c>
      <c r="D76" s="188" t="inlineStr">
        <is>
          <t>Business</t>
        </is>
      </c>
      <c r="E76" s="188" t="inlineStr">
        <is>
          <t>A</t>
        </is>
      </c>
      <c r="F76" s="188" t="inlineStr">
        <is>
          <t>Contacted</t>
        </is>
      </c>
      <c r="G76" s="188" t="inlineStr">
        <is>
          <t>2026-05-02</t>
        </is>
      </c>
      <c r="H76" s="188" t="inlineStr">
        <is>
          <t>Follow-up 1: reopen with the decision-validation question; ask what business decision looked right but should have been stress-tested before money moved.</t>
        </is>
      </c>
      <c r="I76" s="188" t="inlineStr">
        <is>
          <t>2026-05-04</t>
        </is>
      </c>
      <c r="J76" s="188" t="inlineStr">
        <is>
          <t>Active</t>
        </is>
      </c>
      <c r="K76" s="188" t="inlineStr">
        <is>
          <t>Channel: sandeepwadhwani14@gmail.com primary from existing sent route | Public fallback: Techcity.bgm@gmail.com / 0755-4292404 | Contact: Sandeep Wadhwani / Deep Computer &amp; Peripherals. Sources: MYTAT and Maharashtra Directory public listings verify Sandeep and office route. Decision_Gap: computer retail decisions expose inventory, customer-credit, warranty, and trust risk quickly. | [2026-05-03 overnight route cleanup] Cybo public listing adds Deep office emails deep_buildurpc@yahoo.co.in and deep_buildpc@yahoo.co.in plus phones 0755-4292404, 9826264454, 9826072805, 8871012007, 9303668411, 9300729695; retain sandeepwadhwani14@gmail.com as owner route and use office path only if personal route is silent. | [2026-05-03 main-chat sync] May 4 priority follow-up synced to Notion; sheet remains source of truth.</t>
        </is>
      </c>
      <c r="L76" t="inlineStr">
        <is>
          <t>Messaging Test Batch 1; Follow-up 1; Verified Public Route; Tier A First Wave; Retail Owner; Overnight 2026-05-03 | Office Fallback Verified; Priority Follow-up Sync</t>
        </is>
      </c>
    </row>
    <row r="77">
      <c r="A77" s="188" t="inlineStr">
        <is>
          <t>SCR-BO-002</t>
        </is>
      </c>
      <c r="B77" s="188" t="inlineStr">
        <is>
          <t>Yogesh Yadav</t>
        </is>
      </c>
      <c r="C77" s="188" t="inlineStr">
        <is>
          <t>Yogesh Yadav</t>
        </is>
      </c>
      <c r="D77" s="188" t="inlineStr">
        <is>
          <t>Business</t>
        </is>
      </c>
      <c r="E77" s="188" t="inlineStr">
        <is>
          <t>A</t>
        </is>
      </c>
      <c r="F77" s="188" t="inlineStr">
        <is>
          <t>New</t>
        </is>
      </c>
      <c r="G77" s="188" t="inlineStr"/>
      <c r="H77" s="188" t="inlineStr">
        <is>
          <t>Hold until first-wave follow-ups are logged; then send Perfect World owner note through the clean public support route and ask about the last stock or customer-advice decision that needed validation before purchase action.</t>
        </is>
      </c>
      <c r="I77" s="188" t="inlineStr">
        <is>
          <t>2026-05-04</t>
        </is>
      </c>
      <c r="J77" s="188" t="inlineStr">
        <is>
          <t>Active</t>
        </is>
      </c>
      <c r="K77" s="188" t="inlineStr">
        <is>
          <t>Channel: pwcbpl@hotmail.com | Phones: 0755-4275604, 0755-4078230, 09826115455 | Contact: Yogesh Yadav retained from workbook owner route; no stronger direct owner email verified in this pass. Sources: AskLaila and Jupiter Yellow public listings. Decision_Gap: electronics owners see both inventory-buying risk and customer advice risk before money moves.</t>
        </is>
      </c>
      <c r="L77" t="inlineStr">
        <is>
          <t>Verified Public Route; Second Batch Owner Route; Retail Owner; Hold Behind Follow-up 1; Overnight 2026-05-03</t>
        </is>
      </c>
    </row>
    <row r="78">
      <c r="A78" s="188" t="inlineStr">
        <is>
          <t>SCR-BO-003</t>
        </is>
      </c>
      <c r="B78" s="188" t="inlineStr">
        <is>
          <t>Sumit Lalwani</t>
        </is>
      </c>
      <c r="C78" s="188" t="inlineStr">
        <is>
          <t>Sumit Lalwani</t>
        </is>
      </c>
      <c r="D78" s="188" t="inlineStr">
        <is>
          <t>Business</t>
        </is>
      </c>
      <c r="E78" s="188" t="inlineStr">
        <is>
          <t>A</t>
        </is>
      </c>
      <c r="F78" s="188" t="inlineStr">
        <is>
          <t>Contacted</t>
        </is>
      </c>
      <c r="G78" s="188" t="inlineStr">
        <is>
          <t>2026-05-02</t>
        </is>
      </c>
      <c r="H78" s="188" t="inlineStr">
        <is>
          <t>Follow-up 1: reopen with the decision-validation question around stock, supplier, cash-cycle, or expansion risk before money moves.</t>
        </is>
      </c>
      <c r="I78" s="188" t="inlineStr">
        <is>
          <t>2026-05-04</t>
        </is>
      </c>
      <c r="J78" s="188" t="inlineStr">
        <is>
          <t>Active</t>
        </is>
      </c>
      <c r="K78" s="188" t="inlineStr">
        <is>
          <t>Channel: sumitlalwani66@gmail.com | Company: tirupatifoodsproducts@gmail.com | Phones: 08871328918, 09713544361 | Contact: Sumit Lalwani, owner/director-proprietor, Tirupati Foods And Products. Sources: BharatiBiz and Dial4Trade public listings. Decision_Gap: grocery/FMCG owners approve stock and supplier calls under cash-cycle pressure, which makes decision validation concrete. | [2026-05-03 main-chat sync] May 4 priority follow-up synced to Notion; sheet remains source of truth.</t>
        </is>
      </c>
      <c r="L78" t="inlineStr">
        <is>
          <t>Messaging Test Batch 1; Follow-up 1; Verified Public Route; Tier A First Wave; FMCG Owner; Overnight 2026-05-03; Priority Follow-up Sync</t>
        </is>
      </c>
    </row>
    <row r="79">
      <c r="A79" s="188" t="inlineStr">
        <is>
          <t>SCR-BO-004</t>
        </is>
      </c>
      <c r="B79" s="188" t="inlineStr">
        <is>
          <t>Vivek</t>
        </is>
      </c>
      <c r="C79" s="188" t="inlineStr">
        <is>
          <t>Novelty Life Style</t>
        </is>
      </c>
      <c r="D79" s="188" t="inlineStr">
        <is>
          <t>Business</t>
        </is>
      </c>
      <c r="E79" s="188" t="inlineStr">
        <is>
          <t>B</t>
        </is>
      </c>
      <c r="F79" s="188" t="inlineStr">
        <is>
          <t>New</t>
        </is>
      </c>
      <c r="G79" s="188" t="inlineStr"/>
      <c r="H79" s="188" t="inlineStr">
        <is>
          <t>Queue only after Tier A follow-ups are logged; send Vivek/Novelty a retail decision-gap note on inventory and customer-buying judgment before stock commitments.</t>
        </is>
      </c>
      <c r="I79" s="188" t="inlineStr">
        <is>
          <t>2026-05-04</t>
        </is>
      </c>
      <c r="J79" s="188" t="inlineStr">
        <is>
          <t>Waiting</t>
        </is>
      </c>
      <c r="K79" s="188" t="inlineStr">
        <is>
          <t>Channel: noveltylifestyle@gmail.com | 09824539455 | Contact: Retail contact | Source: Identify Business Owners &gt;2Cr | Decision_Gap: Fashion/lifestyle retail sits close to impulse and confidence-led decisions, making validation a relevant behavioural layer. | Bhopal lifestyle retail target. | Hold until first-wave Tier A sends are completed or scale/role is verified. | [2026-05-03 Sunday planning rule] Sunday is planning-only; moved execution due action to 2026-05-04. | [2026-05-03 overnight contact-quality pass] BharatiBiz public listing names Vivek as primary contact and verifies noveltylifestyle@gmail.com, 09824539455, 09425372919, and 08839073190. Use one phone path after Tier A BO logs; do not promote on retail category alone. Source: https://www.bharatibiz.com/en/novelty-life-style-094253-72919 | [2026-05-03 overnight verified-contact pass] BharatiBiz public listing confirms Vivek as Novelty Life Style primary contact, noveltylifestyle@gmail.com, 09824539455, plus shop phones 09425372919/08839073190. Keep Tier B until Tier A logging is complete.</t>
        </is>
      </c>
      <c r="L79" t="inlineStr">
        <is>
          <t>Verified Public Route; Retail Owner; Queued Behind Tier A</t>
        </is>
      </c>
    </row>
    <row r="80">
      <c r="A80" s="188" t="inlineStr">
        <is>
          <t>SCR-BO-005</t>
        </is>
      </c>
      <c r="B80" s="188" t="inlineStr">
        <is>
          <t>Owner not publicly named</t>
        </is>
      </c>
      <c r="C80" s="188" t="inlineStr">
        <is>
          <t>Malvika Exclusive</t>
        </is>
      </c>
      <c r="D80" s="188" t="inlineStr">
        <is>
          <t>Business</t>
        </is>
      </c>
      <c r="E80" s="188" t="inlineStr">
        <is>
          <t>B</t>
        </is>
      </c>
      <c r="F80" s="188" t="inlineStr">
        <is>
          <t>New</t>
        </is>
      </c>
      <c r="G80" s="188" t="inlineStr"/>
      <c r="H80" s="188" t="inlineStr">
        <is>
          <t>Queue only after Tier A follow-ups are logged; send Malvika as owner-led premium retail route using textile purchase/stock decision validation angle.</t>
        </is>
      </c>
      <c r="I80" s="188" t="inlineStr">
        <is>
          <t>2026-05-04</t>
        </is>
      </c>
      <c r="J80" s="188" t="inlineStr">
        <is>
          <t>Waiting</t>
        </is>
      </c>
      <c r="K80" s="188" t="inlineStr">
        <is>
          <t>Channel: info@malvika-exclusive.com | 0755-3148029 | Contact: Retail contact | Source: Identify Business Owners &gt;2Cr | Decision_Gap: Premium retail buyers act from trust and identity, which makes decision validation commercially interesting. | Official contact page surfaced. | Hold until first-wave Tier A sends are completed or scale/role is verified. | [2026-05-03 Sunday planning rule] Sunday is planning-only; moved execution due action to 2026-05-04. | [2026-05-03 overnight contact-quality pass] Official Malvika contact page verifies info@malvika-exclusive.com, 0755-3148029, alternate 0755-4351204, and New Market Plaza address; public GST pages verify registration/address but no named owner was found. Improve routing by phone before email. Source: https://malvika-exclusive.com/contact/ | [2026-05-03 overnight verified-contact pass] Malvika official site confirms contact info@malvika-exclusive.com and 0755-4351204; public GST/IndianYellowPages sources identify Pankaj Jain/Kapila Jain partnership route. No direct personal email found, so use official inbox first.</t>
        </is>
      </c>
      <c r="L80" t="inlineStr">
        <is>
          <t>Verified Public Route; Retail Owner; Queued Behind Tier A</t>
        </is>
      </c>
    </row>
    <row r="81" s="80">
      <c r="A81" s="188" t="inlineStr">
        <is>
          <t>SCR-BO-006</t>
        </is>
      </c>
      <c r="B81" s="188" t="inlineStr">
        <is>
          <t>Nitin Nahar</t>
        </is>
      </c>
      <c r="C81" s="188" t="inlineStr">
        <is>
          <t>Nahar Enterprise</t>
        </is>
      </c>
      <c r="D81" s="188" t="inlineStr">
        <is>
          <t>Business</t>
        </is>
      </c>
      <c r="E81" s="188" t="inlineStr">
        <is>
          <t>A</t>
        </is>
      </c>
      <c r="F81" s="188" t="inlineStr">
        <is>
          <t>Contacted</t>
        </is>
      </c>
      <c r="G81" s="188" t="inlineStr">
        <is>
          <t>2026-05-02</t>
        </is>
      </c>
      <c r="H81" s="188" t="inlineStr">
        <is>
          <t>Follow-up 1: reopen with the decision-validation question; ask what capital decision looked right but should have been stress-tested before money moved.</t>
        </is>
      </c>
      <c r="I81" s="188" t="inlineStr">
        <is>
          <t>2026-05-04</t>
        </is>
      </c>
      <c r="J81" s="188" t="inlineStr">
        <is>
          <t>Active</t>
        </is>
      </c>
      <c r="K81" s="188" t="inlineStr">
        <is>
          <t>Channel: ne@naharindia.com | Phones: +91-755-2551141, 2551191, 2550734, 2550767 | Contact: Nitin Nahar / proprietor route from workbook; public TradeIndia listing supports proprietor name and official site confirms company email/phones. Decision_Gap: industrial supplier route should focus on vendor, inventory, after-sales, project, and credit decisions before commitment. | [2026-05-03 main-chat sync] May 4 priority follow-up synced to Notion; sheet remains source of truth.</t>
        </is>
      </c>
      <c r="L81" t="inlineStr">
        <is>
          <t>Messaging Test Batch 1; Follow-up 1; Verified Public Route; Tier A First Wave; Industrial Supplier; Overnight 2026-05-03; Priority Follow-up Sync</t>
        </is>
      </c>
    </row>
    <row r="82">
      <c r="A82" s="190" t="inlineStr">
        <is>
          <t>SCR-CA-008</t>
        </is>
      </c>
      <c r="B82" s="190" t="inlineStr">
        <is>
          <t>Aditya P. Srivastava</t>
        </is>
      </c>
      <c r="C82" s="190" t="inlineStr">
        <is>
          <t>Bhopal Branch of CIRC of ICAI</t>
        </is>
      </c>
      <c r="D82" s="190" t="inlineStr">
        <is>
          <t>CA</t>
        </is>
      </c>
      <c r="E82" s="190" t="inlineStr">
        <is>
          <t>B</t>
        </is>
      </c>
      <c r="F82" s="190" t="inlineStr">
        <is>
          <t>New</t>
        </is>
      </c>
      <c r="G82" s="190" t="inlineStr"/>
      <c r="H82" s="190" t="inlineStr">
        <is>
          <t>Use as Bhopal second contact after chairman/secretary; send only if first two do not reply within the first follow-up window; do not send before Tier A first-wave contacts are touched.</t>
        </is>
      </c>
      <c r="I82" s="190" t="inlineStr">
        <is>
          <t>2026-05-04</t>
        </is>
      </c>
      <c r="J82" s="190" t="inlineStr">
        <is>
          <t>Waiting</t>
        </is>
      </c>
      <c r="K82" s="190" t="inlineStr">
        <is>
          <t>Channel: aditya.adi.152@gmail.com | 9425607192 | 7552762593 | Contact: Vice Chairman | Bhopal Branch of CIRC of ICAI | Source: Contact CA Associations | Decision_Gap: Vice-chair influence is useful if the first contact validates member appetite but branch activation needs another internal sponsor. | Public Bhopal Branch office-bearer PDF 2025-2026; keep as support path, not first send. | Hold until first-wave Tier A sends are completed or scale/role is verified. | [2026-05-03 Sunday planning rule] Sunday is planning-only; moved execution due action to 2026-05-04.</t>
        </is>
      </c>
    </row>
    <row r="83">
      <c r="A83" s="190" t="inlineStr">
        <is>
          <t>SCR-CA-009</t>
        </is>
      </c>
      <c r="B83" s="190" t="inlineStr">
        <is>
          <t>Milind Wadhwani</t>
        </is>
      </c>
      <c r="C83" s="190" t="inlineStr">
        <is>
          <t>Indore Branch of CIRC of ICAI</t>
        </is>
      </c>
      <c r="D83" s="190" t="inlineStr">
        <is>
          <t>CA</t>
        </is>
      </c>
      <c r="E83" s="190" t="inlineStr">
        <is>
          <t>A</t>
        </is>
      </c>
      <c r="F83" s="190" t="inlineStr">
        <is>
          <t>Contacted</t>
        </is>
      </c>
      <c r="G83" s="190" t="inlineStr">
        <is>
          <t>2026-05-02</t>
        </is>
      </c>
      <c r="H83" s="190" t="inlineStr">
        <is>
          <t>Follow-up 1: ask whether any client made an investment decision that went wrong, then route an Indore member conversation through Milind/branch leadership.</t>
        </is>
      </c>
      <c r="I83" s="190" t="inlineStr">
        <is>
          <t>2026-05-04</t>
        </is>
      </c>
      <c r="J83" s="190" t="inlineStr">
        <is>
          <t>Active</t>
        </is>
      </c>
      <c r="K83" s="190" t="inlineStr">
        <is>
          <t>Channel: milind.wadhwani20@gmail.com | Mobile: 9826273333 | Office: 9754229852 | Contact: CA Milind Wadhwani, contacted Indore route from prior send. Source: workbook send history plus FPJ report confirming Samkit president, Narayan secretary, and Milind vice president for 2026-27. Decision_Gap: use Milind to confirm handover owner for member-facing decision validation; do not skip to generic branch pitch. | [2026-05-03 overnight route cleanup] Official Indore 2025-26 office-bearer PDF gives Narayan Somani route: canarayansomani@gmail.com, office 7987732920, mobile 9630414336; FPJ reports Narayan elected 2026-27 secretary. Keep Milind as contacted route, Narayan as handover target. | [2026-05-03 main-chat sync] May 4 priority follow-up synced to Notion; sheet remains source of truth.</t>
        </is>
      </c>
      <c r="L83" t="inlineStr">
        <is>
          <t>Messaging Test Batch 1; Follow-up 1; Verified Public Route; Handover Check; Indore Route; Overnight 2026-05-03 | Narayan Somani Route; Priority Follow-up Sync</t>
        </is>
      </c>
    </row>
    <row r="84">
      <c r="A84" s="190" t="inlineStr">
        <is>
          <t>SCR-CA-010</t>
        </is>
      </c>
      <c r="B84" s="190" t="inlineStr">
        <is>
          <t>Shashilata Tomar</t>
        </is>
      </c>
      <c r="C84" s="190" t="inlineStr">
        <is>
          <t>Gwalior Branch of CIRC of ICAI</t>
        </is>
      </c>
      <c r="D84" s="190" t="inlineStr">
        <is>
          <t>CA</t>
        </is>
      </c>
      <c r="E84" s="190" t="inlineStr">
        <is>
          <t>B</t>
        </is>
      </c>
      <c r="F84" s="190" t="inlineStr">
        <is>
          <t>New</t>
        </is>
      </c>
      <c r="G84" s="190" t="inlineStr"/>
      <c r="H84" s="190" t="inlineStr">
        <is>
          <t>Queue branch-level outreach after Bhopal/Indore; ask who owns member programming around client decision quality; do not send before Tier A first-wave contacts are touched.</t>
        </is>
      </c>
      <c r="I84" s="190" t="inlineStr">
        <is>
          <t>2026-05-04</t>
        </is>
      </c>
      <c r="J84" s="190" t="inlineStr">
        <is>
          <t>Waiting</t>
        </is>
      </c>
      <c r="K84" s="190" t="inlineStr">
        <is>
          <t>Channel: GWALIOR@ICAI.ORG | 0751-4049902 | 7804919310 | Contact: Shashilata Tomar | Branch staff contact | Source: Contact CA Associations | Decision_Gap: Branch offices can distribute decision-validation thinking, but only after a local office bearer sees the member-value case. | Public Gwalior Branch office-bearer PDF 2025-2026. | Hold until first-wave Tier A sends are completed or scale/role is verified. | [2026-05-03 Sunday planning rule] Sunday is planning-only; moved execution due action to 2026-05-04.</t>
        </is>
      </c>
    </row>
    <row r="85">
      <c r="A85" s="190" t="inlineStr">
        <is>
          <t>SCR-CA-011</t>
        </is>
      </c>
      <c r="B85" s="190" t="inlineStr">
        <is>
          <t>Mayur Garg</t>
        </is>
      </c>
      <c r="C85" s="190" t="inlineStr">
        <is>
          <t>Gwalior Branch of CIRC of ICAI</t>
        </is>
      </c>
      <c r="D85" s="190" t="inlineStr">
        <is>
          <t>CA</t>
        </is>
      </c>
      <c r="E85" s="190" t="inlineStr">
        <is>
          <t>B</t>
        </is>
      </c>
      <c r="F85" s="190" t="inlineStr">
        <is>
          <t>New</t>
        </is>
      </c>
      <c r="G85" s="190" t="inlineStr"/>
      <c r="H85" s="190" t="inlineStr">
        <is>
          <t>Prepare chairman outreach for Gwalior as second-wave CA target once first branch response patterns are clear; do not send before Tier A first-wave contacts are touched.</t>
        </is>
      </c>
      <c r="I85" s="190" t="inlineStr">
        <is>
          <t>2026-05-04</t>
        </is>
      </c>
      <c r="J85" s="190" t="inlineStr">
        <is>
          <t>Waiting</t>
        </is>
      </c>
      <c r="K85" s="190" t="inlineStr">
        <is>
          <t>Channel: CA.MAYURGARG@GMAIL.COM | 9826214555 | Contact: Chairperson | Gwalior Branch of CIRC of ICAI | Source: Contact CA Associations | Decision_Gap: A branch chair will care only if the outreach shows how decision validation creates member relevance before client money is committed. | Public Gwalior Branch office-bearer PDF 2025-2026. | Hold until first-wave Tier A sends are completed or scale/role is verified. | [2026-05-03 Sunday planning rule] Sunday is planning-only; moved execution due action to 2026-05-04.</t>
        </is>
      </c>
    </row>
    <row r="86">
      <c r="A86" s="190" t="inlineStr">
        <is>
          <t>SCR-CA-012</t>
        </is>
      </c>
      <c r="B86" s="190" t="inlineStr">
        <is>
          <t>Hasan Chobarawala</t>
        </is>
      </c>
      <c r="C86" s="190" t="inlineStr">
        <is>
          <t>Ujjain Branch of CIRC of ICAI</t>
        </is>
      </c>
      <c r="D86" s="190" t="inlineStr">
        <is>
          <t>CA</t>
        </is>
      </c>
      <c r="E86" s="190" t="inlineStr">
        <is>
          <t>B</t>
        </is>
      </c>
      <c r="F86" s="190" t="inlineStr">
        <is>
          <t>New</t>
        </is>
      </c>
      <c r="G86" s="190" t="inlineStr"/>
      <c r="H86" s="190" t="inlineStr">
        <is>
          <t>Queue Ujjain branch outreach after first MP branch signal; ask for the right office bearer for member decision-quality programming; do not send before Tier A first-wave contacts are touched.</t>
        </is>
      </c>
      <c r="I86" s="190" t="inlineStr">
        <is>
          <t>2026-05-04</t>
        </is>
      </c>
      <c r="J86" s="190" t="inlineStr">
        <is>
          <t>Waiting</t>
        </is>
      </c>
      <c r="K86" s="190" t="inlineStr">
        <is>
          <t>Channel: ujjain@icai.org | 0734-2521719 | 9926652153 | Contact: Hasan Chobarawala | Branch staff contact | Source: Contact CA Associations | Decision_Gap: Smaller branches are useful only when the ask is clear: validate decisions before action, not run another awareness session. | Public Ujjain Branch office-bearer PDF 2025-2026. | Hold until first-wave Tier A sends are completed or scale/role is verified. | [2026-05-03 Sunday planning rule] Sunday is planning-only; moved execution due action to 2026-05-04.</t>
        </is>
      </c>
    </row>
    <row r="87">
      <c r="A87" s="190" t="inlineStr">
        <is>
          <t>SCR-CA-013</t>
        </is>
      </c>
      <c r="B87" s="190" t="inlineStr">
        <is>
          <t>Akrit Jain</t>
        </is>
      </c>
      <c r="C87" s="190" t="inlineStr">
        <is>
          <t>Ujjain Branch of CIRC of ICAI</t>
        </is>
      </c>
      <c r="D87" s="190" t="inlineStr">
        <is>
          <t>CA</t>
        </is>
      </c>
      <c r="E87" s="190" t="inlineStr">
        <is>
          <t>B</t>
        </is>
      </c>
      <c r="F87" s="190" t="inlineStr">
        <is>
          <t>New</t>
        </is>
      </c>
      <c r="G87" s="190" t="inlineStr"/>
      <c r="H87" s="190" t="inlineStr">
        <is>
          <t>Prepare chair-level Ujjain outreach as a second-wave branch contact after the Bhopal/Indore language is proven; do not send before Tier A first-wave contacts are touched.</t>
        </is>
      </c>
      <c r="I87" s="190" t="inlineStr">
        <is>
          <t>2026-05-04</t>
        </is>
      </c>
      <c r="J87" s="190" t="inlineStr">
        <is>
          <t>Waiting</t>
        </is>
      </c>
      <c r="K87" s="190" t="inlineStr">
        <is>
          <t>Channel: caakritjain@gmail.com | 8879055886 | Contact: Chairman | Ujjain Branch of CIRC of ICAI | Source: Contact CA Associations | Decision_Gap: Chair-level buy-in depends on making the hidden client-decision failure visible in the first two lines. | Public Ujjain Branch office-bearer PDF 2025-2026. | Hold until first-wave Tier A sends are completed or scale/role is verified. | [2026-05-03 Sunday planning rule] Sunday is planning-only; moved execution due action to 2026-05-04.</t>
        </is>
      </c>
    </row>
    <row r="88">
      <c r="A88" s="190" t="inlineStr">
        <is>
          <t>SCR-BO-007</t>
        </is>
      </c>
      <c r="B88" s="190" t="inlineStr">
        <is>
          <t>Owner</t>
        </is>
      </c>
      <c r="C88" s="190" t="inlineStr">
        <is>
          <t>Gajanan Wakhale</t>
        </is>
      </c>
      <c r="D88" s="190" t="inlineStr">
        <is>
          <t>Business</t>
        </is>
      </c>
      <c r="E88" s="190" t="inlineStr">
        <is>
          <t>B</t>
        </is>
      </c>
      <c r="F88" s="190" t="inlineStr">
        <is>
          <t>New</t>
        </is>
      </c>
      <c r="G88" s="190" t="inlineStr"/>
      <c r="H88" s="190" t="inlineStr">
        <is>
          <t>Send owner-level outreach only after Tier A electronics/FMCG owners are touched; validate business scale before moving to Tier A; do not send before Tier A first-wave contacts are touched.</t>
        </is>
      </c>
      <c r="I88" s="190" t="inlineStr">
        <is>
          <t>2026-05-04</t>
        </is>
      </c>
      <c r="J88" s="190" t="inlineStr">
        <is>
          <t>Waiting</t>
        </is>
      </c>
      <c r="K88" s="190" t="inlineStr">
        <is>
          <t>Channel: gajanan12772@gmail.com | 093008 15190 | Contact: Owner | Mahalaxmi Enterprises | Source: Identify Business Owners &gt;2Cr | Decision_Gap: Local owners make stock, expansion, and cash decisions from pattern recognition; Fnomo should expose where confidence went unvalidated. | BharatiBiz public listing confirms owner, email, and phone; scale not verified, so hold as Tier B. | Hold until first-wave Tier A sends are completed or scale/role is verified. | [2026-05-03 Sunday planning rule] Sunday is planning-only; moved execution due action to 2026-05-04.</t>
        </is>
      </c>
    </row>
    <row r="89">
      <c r="A89" s="190" t="inlineStr">
        <is>
          <t>SCR-BO-008</t>
        </is>
      </c>
      <c r="B89" s="190" t="inlineStr">
        <is>
          <t>Sanjay Varliyani</t>
        </is>
      </c>
      <c r="C89" s="190" t="inlineStr">
        <is>
          <t>Sanjay Varliyani</t>
        </is>
      </c>
      <c r="D89" s="190" t="inlineStr">
        <is>
          <t>Business</t>
        </is>
      </c>
      <c r="E89" s="190" t="inlineStr">
        <is>
          <t>A</t>
        </is>
      </c>
      <c r="F89" s="190" t="inlineStr">
        <is>
          <t>New</t>
        </is>
      </c>
      <c r="G89" s="190" t="inlineStr"/>
      <c r="H89" s="190" t="inlineStr">
        <is>
          <t>Hold until first-wave follow-ups are logged; then send Sanjay Varliyani a high-ticket retail note using the Above15Cr GST signal and ask what stock/customer-finance decision looked safe before validation was missing.</t>
        </is>
      </c>
      <c r="I89" s="190" t="inlineStr">
        <is>
          <t>2026-05-04</t>
        </is>
      </c>
      <c r="J89" s="190" t="inlineStr">
        <is>
          <t>Active</t>
        </is>
      </c>
      <c r="K89" s="190" t="inlineStr">
        <is>
          <t>Channel: svarliyani@gmail.com | 081092 45800 | 0755 429 2830 | Contact: Sanjay Varliyani | Owner | Sapna Electronics | Source: Identify Business Owners &gt;2Cr | Decision_Gap: High-ticket electronics retail exposes the exact gap Fnomo names: people commit money from confidence before decision quality is validated. | BharatiBiz verifies owner email and phones; public CCOBZ Above15Cr list includes Sapna Electronics / Sanjay Kumar Varliyani, supporting Tier A scale. | [2026-05-02 overnight hygiene] Keep as high-ticket retail Tier A because public owner/contact and scale signal exist; ask about a stock/customer-finance decision that felt obvious before downside appeared. | [2026-05-02 late-night priority enrichment] CCOBZ Above15Cr public list reconfirms SANJAY KUMAR VARLIYANI / SAPNA ELECTRONICS, supporting Tier A retail scale. Existing channel svarliyani@gmail.com, 08109245800, and 0755-4292830 remains the direct route; no better public email found this pass. | [2026-05-03 overnight priority enrichment] Public Above15Cr GST list again supports Sapna Electronics / Sanjay Kumar Varliyani scale signal; no new direct email beyond existing route found. Keep as Tier A after follow-up gate.</t>
        </is>
      </c>
      <c r="L89" t="inlineStr">
        <is>
          <t>Verified Public Route</t>
        </is>
      </c>
    </row>
    <row r="90">
      <c r="A90" s="190" t="inlineStr">
        <is>
          <t>SCR-BO-009</t>
        </is>
      </c>
      <c r="B90" s="190" t="inlineStr">
        <is>
          <t>Nitin Bhawsar</t>
        </is>
      </c>
      <c r="C90" s="190" t="inlineStr">
        <is>
          <t>Nitin Bhawsar</t>
        </is>
      </c>
      <c r="D90" s="190" t="inlineStr">
        <is>
          <t>Business</t>
        </is>
      </c>
      <c r="E90" s="190" t="inlineStr">
        <is>
          <t>A</t>
        </is>
      </c>
      <c r="F90" s="190" t="inlineStr">
        <is>
          <t>New</t>
        </is>
      </c>
      <c r="G90" s="190" t="inlineStr"/>
      <c r="H90" s="190" t="inlineStr">
        <is>
          <t>After first-wave follow-ups are logged, send Nitin/Yantra a retail-procurement note; ask what customer or inventory decision recently needed validation before purchase action.</t>
        </is>
      </c>
      <c r="I90" s="190" t="inlineStr">
        <is>
          <t>2026-05-04</t>
        </is>
      </c>
      <c r="J90" s="190" t="inlineStr">
        <is>
          <t>Active</t>
        </is>
      </c>
      <c r="K90" s="190" t="inlineStr">
        <is>
          <t>Channel: yantrainfotech@gmail.com | Phone: 0755-4272287 | Contact: Nitin Bhawsar, owner, Yantra Infotech. Source: BharatiBiz public listing confirms owner, email, phone, MP Nagar address, and electronics/computer-retail category. Decision_Gap: buying, customer-advice, and inventory calls are visible decision-validation entry points for this retail owner.</t>
        </is>
      </c>
      <c r="L90" t="inlineStr">
        <is>
          <t>Verified Public Route; Second Batch Owner Route; Retail Owner; Hold Behind Follow-up 1; Overnight 2026-05-03</t>
        </is>
      </c>
    </row>
    <row r="91">
      <c r="A91" s="190" t="inlineStr">
        <is>
          <t>SCR-BO-010</t>
        </is>
      </c>
      <c r="B91" s="190" t="inlineStr">
        <is>
          <t>Pankaj Kukreja</t>
        </is>
      </c>
      <c r="C91" s="190" t="inlineStr">
        <is>
          <t>Madam Collection</t>
        </is>
      </c>
      <c r="D91" s="190" t="inlineStr">
        <is>
          <t>Business</t>
        </is>
      </c>
      <c r="E91" s="190" t="inlineStr">
        <is>
          <t>B</t>
        </is>
      </c>
      <c r="F91" s="190" t="inlineStr">
        <is>
          <t>New</t>
        </is>
      </c>
      <c r="G91" s="190" t="inlineStr"/>
      <c r="H91" s="190" t="inlineStr">
        <is>
          <t>Queue only after Tier A follow-ups are logged; use Pankaj Kukreja/Madam Collection as premium retail owner route and ask which buying or stock bet last needed validation.</t>
        </is>
      </c>
      <c r="I91" s="190" t="inlineStr">
        <is>
          <t>2026-05-04</t>
        </is>
      </c>
      <c r="J91" s="190" t="inlineStr">
        <is>
          <t>Waiting</t>
        </is>
      </c>
      <c r="K91" s="190" t="inlineStr">
        <is>
          <t>Channel: pankaj_kukreja0000@rediffmail.com | 098938 53138 | 0755 401 1190 | Contact: Owner | Madam Collection | Source: Identify Business Owners &gt;2Cr | Decision_Gap: Premium retail decisions are driven by identity and confidence, which makes a validation-before-action conversation relevant if scale is real. | BharatiBiz public listing confirms owner, email, and phone; verify scale before Tier A. | Hold until first-wave Tier A sends are completed or scale/role is verified. | [2026-05-03 Sunday planning rule] Sunday is planning-only; moved execution due action to 2026-05-04. | [2026-05-03 overnight contact-quality pass] TextileInfoMedia public listing identifies Pankaj Kukreja as proprietor of Madam Collection, a Bhopal apparel manufacturer/wholesaler; phone/email are partially gated there, so keep the existing directory route but verify before outreach. Source: https://www.textileinfomedia.com/madam-collection | [2026-05-03 overnight verified-contact pass] No stronger new public route found in this pass; preserve existing owner email/phone and improve next action instead of adding noisy contacts.</t>
        </is>
      </c>
      <c r="L91" t="inlineStr">
        <is>
          <t>Retail Owner; Queued Behind Tier A; No New Public Route</t>
        </is>
      </c>
    </row>
    <row r="92">
      <c r="A92" s="190" t="inlineStr">
        <is>
          <t>SCR-BO-011</t>
        </is>
      </c>
      <c r="B92" s="190" t="inlineStr">
        <is>
          <t>Owner</t>
        </is>
      </c>
      <c r="C92" s="190" t="inlineStr">
        <is>
          <t>Neha Rijhwani</t>
        </is>
      </c>
      <c r="D92" s="190" t="inlineStr">
        <is>
          <t>Business</t>
        </is>
      </c>
      <c r="E92" s="190" t="inlineStr">
        <is>
          <t>B</t>
        </is>
      </c>
      <c r="F92" s="190" t="inlineStr">
        <is>
          <t>New</t>
        </is>
      </c>
      <c r="G92" s="190" t="inlineStr"/>
      <c r="H92" s="190" t="inlineStr">
        <is>
          <t>Hold as boutique-retail second wave; use only after higher-value owner contacts have been worked; do not send before Tier A first-wave contacts are touched.</t>
        </is>
      </c>
      <c r="I92" s="190" t="inlineStr">
        <is>
          <t>2026-05-04</t>
        </is>
      </c>
      <c r="J92" s="190" t="inlineStr">
        <is>
          <t>Waiting</t>
        </is>
      </c>
      <c r="K92" s="190" t="inlineStr">
        <is>
          <t>Channel: neharijhwani1@gmail.com | stylewithfitoor@gmail.com | 099939 00210 | Contact: Owner | Fitoor - Designer Store for Women | Source: Identify Business Owners &gt;2Cr | Decision_Gap: Boutique retail decisions reveal how confidence, social proof, and money move together without a structured validation step. | BharatiBiz public listing confirms owner email and store contacts; scale not verified. | Hold until first-wave Tier A sends are completed or scale/role is verified. | [2026-05-03 Sunday planning rule] Sunday is planning-only; moved execution due action to 2026-05-04.</t>
        </is>
      </c>
    </row>
    <row r="93">
      <c r="A93" s="190" t="inlineStr">
        <is>
          <t>SCR-BO-012</t>
        </is>
      </c>
      <c r="B93" s="190" t="inlineStr">
        <is>
          <t>Owner</t>
        </is>
      </c>
      <c r="C93" s="190" t="inlineStr">
        <is>
          <t>Sourabh Jain</t>
        </is>
      </c>
      <c r="D93" s="190" t="inlineStr">
        <is>
          <t>Business</t>
        </is>
      </c>
      <c r="E93" s="190" t="inlineStr">
        <is>
          <t>B</t>
        </is>
      </c>
      <c r="F93" s="190" t="inlineStr">
        <is>
          <t>New</t>
        </is>
      </c>
      <c r="G93" s="190" t="inlineStr"/>
      <c r="H93" s="190" t="inlineStr">
        <is>
          <t>Use as second-wave owner outreach only after direct Tier A owner touches are completed; do not send before Tier A first-wave contacts are touched.</t>
        </is>
      </c>
      <c r="I93" s="190" t="inlineStr">
        <is>
          <t>2026-05-04</t>
        </is>
      </c>
      <c r="J93" s="190" t="inlineStr">
        <is>
          <t>Waiting</t>
        </is>
      </c>
      <c r="K93" s="190" t="inlineStr">
        <is>
          <t>Channel: sourabhskjain@gmail.com | 098932 44778 | 0755 274 0041 | Contact: Owner | Ecoline Products | Source: Identify Business Owners &gt;2Cr | Decision_Gap: Trading/product owners make repeated procurement and cash-cycle decisions where unvalidated confidence can become expensive. | BharatiBiz public listing confirms owner, email, and phone; keep Tier B until scale is confirmed. | Hold until first-wave Tier A sends are completed or scale/role is verified. | [2026-05-03 Sunday planning rule] Sunday is planning-only; moved execution due action to 2026-05-04.</t>
        </is>
      </c>
    </row>
    <row r="94" s="80">
      <c r="A94" s="190" t="inlineStr">
        <is>
          <t>SCR-CA-014</t>
        </is>
      </c>
      <c r="B94" s="190" t="inlineStr">
        <is>
          <t>Piyush Chatar</t>
        </is>
      </c>
      <c r="C94" s="190" t="inlineStr">
        <is>
          <t>Bhopal Branch of CIRC of ICAI</t>
        </is>
      </c>
      <c r="D94" s="190" t="inlineStr">
        <is>
          <t>CA</t>
        </is>
      </c>
      <c r="E94" s="190" t="inlineStr">
        <is>
          <t>B</t>
        </is>
      </c>
      <c r="F94" s="190" t="inlineStr">
        <is>
          <t>New</t>
        </is>
      </c>
      <c r="G94" s="190" t="inlineStr"/>
      <c r="H94" s="190" t="inlineStr">
        <is>
          <t>Use as Bhopal support route after chairman/secretary touch. Ask whether treasury/member programming sees repeated client decisions where money moved before judgment was validated.</t>
        </is>
      </c>
      <c r="I94" s="190" t="inlineStr">
        <is>
          <t>2026-05-04</t>
        </is>
      </c>
      <c r="J94" s="190" t="inlineStr">
        <is>
          <t>Waiting</t>
        </is>
      </c>
      <c r="K94" s="190" t="inlineStr">
        <is>
          <t>Channel: piyush.chatar@gmail.com | Contact: CA Piyush Chatar | Treasurer, Bhopal Branch of CIRC of ICAI | Mobile 9827442875 | Source: Contact CA Associations | Decision_Gap: Treasurer can validate the commercial seriousness of a member-facing decision-quality conversation if first-wave leadership is slow. | Public CIRC Bhopal Office Bearer PDF 2025-2026 lists role, mobile, and email. Keep as support path after Arpit/Abhishek. | [2026-05-03 Sunday planning rule] Sunday is planning-only; moved execution due action to 2026-05-04.</t>
        </is>
      </c>
    </row>
    <row r="95">
      <c r="A95" s="190" t="inlineStr">
        <is>
          <t>SCR-CA-015</t>
        </is>
      </c>
      <c r="B95" s="190" t="inlineStr">
        <is>
          <t>Pradeep Mutreja</t>
        </is>
      </c>
      <c r="C95" s="190" t="inlineStr">
        <is>
          <t>Bhopal Branch of CIRC of ICAI</t>
        </is>
      </c>
      <c r="D95" s="190" t="inlineStr">
        <is>
          <t>CA</t>
        </is>
      </c>
      <c r="E95" s="190" t="inlineStr">
        <is>
          <t>B</t>
        </is>
      </c>
      <c r="F95" s="190" t="inlineStr">
        <is>
          <t>New</t>
        </is>
      </c>
      <c r="G95" s="190" t="inlineStr"/>
      <c r="H95" s="190" t="inlineStr">
        <is>
          <t>Hold as CICASA/member-engagement route. Use if the branch wants a younger-member angle around why clients act confidently before decisions are stress-tested.</t>
        </is>
      </c>
      <c r="I95" s="190" t="inlineStr">
        <is>
          <t>2026-05-04</t>
        </is>
      </c>
      <c r="J95" s="190" t="inlineStr">
        <is>
          <t>Waiting</t>
        </is>
      </c>
      <c r="K95" s="190" t="inlineStr">
        <is>
          <t>Channel: pradeep.mutreja@icai.org | Contact: CA Pradeep Mutreja | CICASA Chairman, Bhopal Branch of CIRC of ICAI | Mobile 9981149999, 9300044680 | Office 0755 4285581 | Source: Contact CA Associations | Decision_Gap: CICASA route can create distribution, but only if the message stays practical: validate judgment before action. | Public CIRC Bhopal Office Bearer PDF 2025-2026 lists role, office phone, mobiles, and email. Do not use before Tier A chair/secretary route. | [2026-05-03 Sunday planning rule] Sunday is planning-only; moved execution due action to 2026-05-04.</t>
        </is>
      </c>
    </row>
    <row r="96">
      <c r="A96" s="190" t="inlineStr">
        <is>
          <t>SCR-CA-016</t>
        </is>
      </c>
      <c r="B96" s="190" t="inlineStr">
        <is>
          <t>Samkit Bhandari</t>
        </is>
      </c>
      <c r="C96" s="190" t="inlineStr">
        <is>
          <t>Indore Branch of CIRC of ICAI</t>
        </is>
      </c>
      <c r="D96" s="190" t="inlineStr">
        <is>
          <t>CA</t>
        </is>
      </c>
      <c r="E96" s="190" t="inlineStr">
        <is>
          <t>A</t>
        </is>
      </c>
      <c r="F96" s="190" t="inlineStr">
        <is>
          <t>New</t>
        </is>
      </c>
      <c r="G96" s="190" t="inlineStr"/>
      <c r="H96" s="190" t="inlineStr">
        <is>
          <t>Use Samkit only after Arpit, Abhishek, and Milind outcomes are logged; ask him to confirm whether he or secretary Narayan Somani owns the 2026-27 Indore member test, with Narayan direct route ready if Samkit asks to redirect.</t>
        </is>
      </c>
      <c r="I96" s="190" t="inlineStr">
        <is>
          <t>2026-05-04</t>
        </is>
      </c>
      <c r="J96" s="190" t="inlineStr">
        <is>
          <t>Active</t>
        </is>
      </c>
      <c r="K96" s="190" t="inlineStr">
        <is>
          <t>Channel: samkit.fca@gmail.com | Mobile: 9009770770 | Office: 8120770770 | Contact: CA Samkit Bhandari. Source: FPJ confirms Samkit as Indore president and Narayan Somani as secretary for 2026-27; Narayan Somani direct public route verified via Indore office-bearer PDF. Decision_Gap: message should ask who sponsors client decision-validation programming, not whether they want a generic tool. | [2026-05-03 overnight route cleanup] Narayan Somani direct public route added from Indore office-bearer PDF: canarayansomani@gmail.com, office 7987732920, mobile 9630414336; FPJ confirms 2026-27 secretary election. Use only for handover after contacted route sequence.</t>
        </is>
      </c>
      <c r="L96" t="inlineStr">
        <is>
          <t>Priority Routing Check; Verified Public Route; Ownership Check; Indore 2026-27 Handover; Hold Behind Follow-up 1; Overnight 2026-05-03 | Narayan Somani Route</t>
        </is>
      </c>
    </row>
    <row r="97">
      <c r="A97" s="190" t="inlineStr">
        <is>
          <t>SCR-CA-017</t>
        </is>
      </c>
      <c r="B97" s="190" t="inlineStr">
        <is>
          <t>Lavish Tanted</t>
        </is>
      </c>
      <c r="C97" s="190" t="inlineStr">
        <is>
          <t>Indore Branch of CIRC of ICAI</t>
        </is>
      </c>
      <c r="D97" s="190" t="inlineStr">
        <is>
          <t>CA</t>
        </is>
      </c>
      <c r="E97" s="190" t="inlineStr">
        <is>
          <t>B</t>
        </is>
      </c>
      <c r="F97" s="190" t="inlineStr">
        <is>
          <t>New</t>
        </is>
      </c>
      <c r="G97" s="190" t="inlineStr"/>
      <c r="H97" s="190" t="inlineStr">
        <is>
          <t>Use as Indore treasurer support route if chair/secretary do not reply by Follow-up 1. Ask for the right sponsor for a decision-validation member conversation.</t>
        </is>
      </c>
      <c r="I97" s="190" t="inlineStr">
        <is>
          <t>2026-05-04</t>
        </is>
      </c>
      <c r="J97" s="190" t="inlineStr">
        <is>
          <t>Waiting</t>
        </is>
      </c>
      <c r="K97" s="190" t="inlineStr">
        <is>
          <t>Channel: LAVISHTANTED50@GMAIL.COM | Contact: CA Lavish Tanted | Treasurer, Indore Branch of CIRC of ICAI | Mobile 8989936962 | Office 9713336400 | Source: Contact CA Associations | Decision_Gap: Treasurer route is useful when the branch needs a practical member-value case rather than another broad awareness topic. | Public CIRC Indore Office Bearer PDF 2025-2026 lists role, office phone, mobile, and email. Keep behind Rajat/Milind. | [2026-05-03 Sunday planning rule] Sunday is planning-only; moved execution due action to 2026-05-04.</t>
        </is>
      </c>
    </row>
    <row r="98" s="80">
      <c r="A98" s="190" t="inlineStr">
        <is>
          <t>SCR-BO-013</t>
        </is>
      </c>
      <c r="B98" s="190" t="inlineStr">
        <is>
          <t>Shubham Jain</t>
        </is>
      </c>
      <c r="C98" s="190" t="inlineStr">
        <is>
          <t>Parshvnath Electricals</t>
        </is>
      </c>
      <c r="D98" s="190" t="inlineStr">
        <is>
          <t>Business</t>
        </is>
      </c>
      <c r="E98" s="190" t="inlineStr">
        <is>
          <t>B</t>
        </is>
      </c>
      <c r="F98" s="190" t="inlineStr">
        <is>
          <t>New</t>
        </is>
      </c>
      <c r="G98" s="190" t="inlineStr"/>
      <c r="H98" s="190" t="inlineStr">
        <is>
          <t>Queue after first-wave Tier A owner sends. Open on electrical procurement and inventory decisions where a confident vendor or stock call can become expensive.</t>
        </is>
      </c>
      <c r="I98" s="190" t="inlineStr">
        <is>
          <t>2026-05-04</t>
        </is>
      </c>
      <c r="J98" s="190" t="inlineStr">
        <is>
          <t>Waiting</t>
        </is>
      </c>
      <c r="K98" s="190" t="inlineStr">
        <is>
          <t>Channel: shubham.jain2594@gmail.com | 094253 02550 | 099938 35399 | 0755 403 0992 | Contact: Shubham Jain | Owner | Parshvnath Electricals | Additional public contact: Manoj Jain | Source: Identify Business Owners &gt;2Cr | Decision_Gap: Electrical and industrial-area owners face vendor, inventory, credit, and customer-advice decisions that look operational but carry capital risk. | BharatiBiz public listing names owner, email, three phones, Govindpura industrial-area address, and business-site web presence. Scale not verified, keep Tier B. | [2026-05-03 Sunday planning rule] Sunday is planning-only; moved execution due action to 2026-05-04.</t>
        </is>
      </c>
    </row>
    <row r="99">
      <c r="A99" s="190" t="inlineStr">
        <is>
          <t>SCR-BO-014</t>
        </is>
      </c>
      <c r="B99" s="190" t="inlineStr">
        <is>
          <t>Lp Gupta</t>
        </is>
      </c>
      <c r="C99" s="190" t="inlineStr">
        <is>
          <t>Gupta Electronics &amp; Electricals</t>
        </is>
      </c>
      <c r="D99" s="190" t="inlineStr">
        <is>
          <t>Business</t>
        </is>
      </c>
      <c r="E99" s="190" t="inlineStr">
        <is>
          <t>B</t>
        </is>
      </c>
      <c r="F99" s="190" t="inlineStr">
        <is>
          <t>New</t>
        </is>
      </c>
      <c r="G99" s="190" t="inlineStr"/>
      <c r="H99" s="190" t="inlineStr">
        <is>
          <t>Queue after Tier A electronics owners are touched. Use high-ticket electrical/electronics decisions and customer trust as the decision-gap opener.</t>
        </is>
      </c>
      <c r="I99" s="190" t="inlineStr">
        <is>
          <t>2026-05-04</t>
        </is>
      </c>
      <c r="J99" s="190" t="inlineStr">
        <is>
          <t>Waiting</t>
        </is>
      </c>
      <c r="K99" s="190" t="inlineStr">
        <is>
          <t>Channel: lpgupta9@gmail.com | 094253 71852 | 0755 273 6219 | Contact: Lp Gupta | Owner | Gupta Electronics &amp; Electricals | Source: Identify Business Owners &gt;2Cr | Decision_Gap: Electronics and hardware retail exposes both owner buying risk and customer decision confidence before money moves. | BharatiBiz public listing names owner, owner email, phones, and electronics/hardware category. No scale proof yet, keep Tier B. | [2026-05-03 Sunday planning rule] Sunday is planning-only; moved execution due action to 2026-05-04.</t>
        </is>
      </c>
    </row>
    <row r="100">
      <c r="A100" s="190" t="inlineStr">
        <is>
          <t>SCR-BO-015</t>
        </is>
      </c>
      <c r="B100" s="190" t="inlineStr">
        <is>
          <t>Suresh Hasani</t>
        </is>
      </c>
      <c r="C100" s="190" t="inlineStr">
        <is>
          <t>Kumar Electronics</t>
        </is>
      </c>
      <c r="D100" s="190" t="inlineStr">
        <is>
          <t>Business</t>
        </is>
      </c>
      <c r="E100" s="190" t="inlineStr">
        <is>
          <t>B</t>
        </is>
      </c>
      <c r="F100" s="190" t="inlineStr">
        <is>
          <t>New</t>
        </is>
      </c>
      <c r="G100" s="190" t="inlineStr"/>
      <c r="H100" s="190" t="inlineStr">
        <is>
          <t>Queue after Sapna/Perfect World/Yantra touches. Ask about the last inventory or customer purchase decision that seemed obvious until downside appeared.</t>
        </is>
      </c>
      <c r="I100" s="190" t="inlineStr">
        <is>
          <t>2026-05-04</t>
        </is>
      </c>
      <c r="J100" s="190" t="inlineStr">
        <is>
          <t>Waiting</t>
        </is>
      </c>
      <c r="K100" s="190" t="inlineStr">
        <is>
          <t>Channel: kumarelectronics1@gmail.com | 098267 80755 | 098268 18684 | Contact: Suresh Hasani | Owner | Kumar Electronics | Additional public contact: Jitendra Ji | Source: Identify Business Owners &gt;2Cr | Decision_Gap: High-frequency electronics retail is useful for Fnomo because bad validation shows up quickly as inventory, cash, or reputation cost. | BharatiBiz public listing names owner, email, two phones, and electronics market location. No scale proof yet, keep Tier B. | [2026-05-03 Sunday planning rule] Sunday is planning-only; moved execution due action to 2026-05-04.</t>
        </is>
      </c>
    </row>
    <row r="101">
      <c r="A101" s="190" t="inlineStr">
        <is>
          <t>SCR-BO-016</t>
        </is>
      </c>
      <c r="B101" s="190" t="inlineStr">
        <is>
          <t>Ayaz Uddin</t>
        </is>
      </c>
      <c r="C101" s="190" t="inlineStr">
        <is>
          <t>A Z Communication</t>
        </is>
      </c>
      <c r="D101" s="190" t="inlineStr">
        <is>
          <t>Business</t>
        </is>
      </c>
      <c r="E101" s="190" t="inlineStr">
        <is>
          <t>C</t>
        </is>
      </c>
      <c r="F101" s="190" t="inlineStr">
        <is>
          <t>New</t>
        </is>
      </c>
      <c r="G101" s="190" t="inlineStr"/>
      <c r="H101" s="190" t="inlineStr">
        <is>
          <t>Hold as lower-priority mobile-retail contact. Use only if electronics-owner copy needs a small-retail test after Tier A and Tier B rows are worked.</t>
        </is>
      </c>
      <c r="I101" s="190" t="inlineStr">
        <is>
          <t>2026-05-04</t>
        </is>
      </c>
      <c r="J101" s="190" t="inlineStr">
        <is>
          <t>Waiting</t>
        </is>
      </c>
      <c r="K101" s="190" t="inlineStr">
        <is>
          <t>Channel: ayazazbpl@gmail.com | Business phone 09685582786 | Contact: Ayaz Uddin | Owner | A Z Communication | Direct owner phone 09893151078 | Source: Identify Business Owners &gt;2Cr | Decision_Gap: Mobile retail has relevant decision behavior, but weak scale signal means it should not compete with verified Tier A/B owner routes. | BharatiBiz public listing names owner, owner phone, email, and mobile/electronics category. Keep Tier C until scale or intent improves.</t>
        </is>
      </c>
    </row>
    <row r="102" s="80">
      <c r="A102" s="190" t="inlineStr">
        <is>
          <t>SCR-BO-017</t>
        </is>
      </c>
      <c r="B102" s="190" t="inlineStr">
        <is>
          <t>B.K. Bhatia</t>
        </is>
      </c>
      <c r="C102" s="190" t="inlineStr">
        <is>
          <t>B.K. Enterprises</t>
        </is>
      </c>
      <c r="D102" s="190" t="inlineStr">
        <is>
          <t>Business</t>
        </is>
      </c>
      <c r="E102" s="190" t="inlineStr">
        <is>
          <t>A</t>
        </is>
      </c>
      <c r="F102" s="190" t="inlineStr">
        <is>
          <t>New</t>
        </is>
      </c>
      <c r="G102" s="190" t="inlineStr"/>
      <c r="H102" s="190" t="inlineStr">
        <is>
          <t>After first-wave follow-ups are logged, send B.K. Bhatia first; if no reply, route through Raju B. company-in-charge with a heavy-fabrication validation question.</t>
        </is>
      </c>
      <c r="I102" s="190" t="inlineStr">
        <is>
          <t>2026-05-04</t>
        </is>
      </c>
      <c r="J102" s="190" t="inlineStr">
        <is>
          <t>Active</t>
        </is>
      </c>
      <c r="K102" s="190" t="inlineStr">
        <is>
          <t>Channel: rajubke@bkenter.com | bkbhatia.bke@gmail.com | 0755-4261494 | 0755-4224932 | +91-9826357003 | +91-9770185507 | +91-9981507283 | Contact: Shri B.K. Bhatia | Proprietor/CEO; Shri Raju B. | overall company-in-charge. Official B.K. site verifies emails, phones, roles, ISO 9001:2015, and heavy fabrication focus. Decision_Gap: transformer tank and fabrication commitments create material, quality, and delivery risk that should be validated before acceptance.</t>
        </is>
      </c>
      <c r="L102" t="inlineStr">
        <is>
          <t>Verified Public Route; Second Batch Owner Route; Manufacturing Owner; Overnight 2026-05-03</t>
        </is>
      </c>
    </row>
    <row r="103" s="80">
      <c r="A103" s="190" t="inlineStr">
        <is>
          <t>SCR-BO-018</t>
        </is>
      </c>
      <c r="B103" s="190" t="inlineStr">
        <is>
          <t>S.K. Gulati</t>
        </is>
      </c>
      <c r="C103" s="190" t="inlineStr">
        <is>
          <t>S.K. Industries</t>
        </is>
      </c>
      <c r="D103" s="190" t="inlineStr">
        <is>
          <t>Business</t>
        </is>
      </c>
      <c r="E103" s="190" t="inlineStr">
        <is>
          <t>A</t>
        </is>
      </c>
      <c r="F103" s="190" t="inlineStr">
        <is>
          <t>New</t>
        </is>
      </c>
      <c r="G103" s="190" t="inlineStr"/>
      <c r="H103" s="190" t="inlineStr">
        <is>
          <t>After first-wave follow-ups are logged, send S.K./Saurabh Gulati via managingdirector@skindustriesbhopal.com first, then saurabh@skindustriesbhopal.com. If no reply, call 09303131877 or office 0755-4271946/2586567/4261974; treat the official 0930313697 listing as secondary/possibly incomplete.</t>
        </is>
      </c>
      <c r="I103" s="190" t="inlineStr">
        <is>
          <t>2026-05-04</t>
        </is>
      </c>
      <c r="J103" s="190" t="inlineStr">
        <is>
          <t>Active</t>
        </is>
      </c>
      <c r="K103" s="190" t="inlineStr">
        <is>
          <t>Channel: managingdirector@skindustriesbhopal.com; saurabh@skindustriesbhopal.com; info@skindustriesbhopal.com; purchase@skindustriesbhopal.com; md@skindustriesbhopal.com | Phones 0755-4271946, 0755-2586567, 0755-4261974 | Mobiles 9303131877, 930313697 | Contact: Mr. S.K. Gulati and Mr. Saurabh Gulati | Managing Directors, S.K. Industries, Govindpura. | Source: Official S.K. Industries contact page https://www.sme.in/skindustries/contact.html refreshed 2026-05-03. | Decision_Gap: industrial owners approve supplier, project, product, and credit decisions that can look sound until assumptions are tested too late. | Tier A verified MD route; use after first-wave follow-up logging. | [2026-05-03 overnight execution-cleanliness pass] Official S.K. Industries contact page reconfirmed Mr. S.K. Gulati and Mr. Saurabh Gulati as managing directors, direct leadership emails, office phones, and mobile 09303131877. The second listed mobile appears as 0930313697, so do not rely on it before the office-phone path.</t>
        </is>
      </c>
      <c r="L103" t="inlineStr">
        <is>
          <t>Public Contact Verified</t>
        </is>
      </c>
    </row>
    <row r="104" s="80">
      <c r="A104" s="190" t="inlineStr">
        <is>
          <t>SCR-BO-019</t>
        </is>
      </c>
      <c r="B104" s="190" t="inlineStr">
        <is>
          <t>Digendra Singh</t>
        </is>
      </c>
      <c r="C104" s="190" t="inlineStr">
        <is>
          <t>Bhadoriya Industries</t>
        </is>
      </c>
      <c r="D104" s="190" t="inlineStr">
        <is>
          <t>Business</t>
        </is>
      </c>
      <c r="E104" s="190" t="inlineStr">
        <is>
          <t>B</t>
        </is>
      </c>
      <c r="F104" s="190" t="inlineStr">
        <is>
          <t>New</t>
        </is>
      </c>
      <c r="G104" s="190" t="inlineStr"/>
      <c r="H104" s="190" t="inlineStr">
        <is>
          <t>Queue after Tier A industrial owners. Ask about the last material, supplier, or production decision that looked safe until cost or delivery risk surfaced.</t>
        </is>
      </c>
      <c r="I104" s="190" t="inlineStr">
        <is>
          <t>2026-05-04</t>
        </is>
      </c>
      <c r="J104" s="190" t="inlineStr">
        <is>
          <t>Waiting</t>
        </is>
      </c>
      <c r="K104" s="190" t="inlineStr">
        <is>
          <t>Channel: bhadoriyaindustries@gmail.com | 0755-4272705 | 0755-4270048 | 9202205099 | Contact: Digendra Singh | Owner | Bhadoriya Industries | Govindpura | Source: Identify Business Owners &gt;2Cr | Decision_Gap: Metal manufacturing owners face repeated procurement and production decisions where unvalidated assumptions become margin or delivery risk. | BharatiBiz public listing names owner, email, phones, Govindpura address, and manufacturing category. Keep Tier B until scale/intent is confirmed. | [2026-05-03 Sunday planning rule] Sunday is planning-only; moved execution due action to 2026-05-04.</t>
        </is>
      </c>
    </row>
    <row r="105" s="80">
      <c r="A105" s="190" t="inlineStr">
        <is>
          <t>SCR-BO-020</t>
        </is>
      </c>
      <c r="B105" s="190" t="inlineStr">
        <is>
          <t>Ankur Mittal</t>
        </is>
      </c>
      <c r="C105" s="190" t="inlineStr">
        <is>
          <t>Mittal Ispat Company</t>
        </is>
      </c>
      <c r="D105" s="190" t="inlineStr">
        <is>
          <t>Business</t>
        </is>
      </c>
      <c r="E105" s="190" t="inlineStr">
        <is>
          <t>B</t>
        </is>
      </c>
      <c r="F105" s="190" t="inlineStr">
        <is>
          <t>New</t>
        </is>
      </c>
      <c r="G105" s="190" t="inlineStr"/>
      <c r="H105" s="190" t="inlineStr">
        <is>
          <t>Queue as machinery/industrial second wave. Open on a recent machinery, stock, or customer-credit decision where the downside was not visible before action.</t>
        </is>
      </c>
      <c r="I105" s="190" t="inlineStr">
        <is>
          <t>2026-05-04</t>
        </is>
      </c>
      <c r="J105" s="190" t="inlineStr">
        <is>
          <t>Waiting</t>
        </is>
      </c>
      <c r="K105" s="190" t="inlineStr">
        <is>
          <t>Channel: ankurmittal123@gmail.com | 9873736366 | 0755-4229768 | Contact: Ankur Mittal | Proprietor | Mittal Ispat Company | Govindpura | Source: Identify Business Owners &gt;2Cr | Decision_Gap: Machinery and industrial trading decisions often look data-backed but still depend on judgment that has not been validated. | BharatiBiz public listing names proprietor, email, phones, and wholesale machinery category. Tier B until deal size or owner intent is verified. | [2026-05-03 Sunday planning rule] Sunday is planning-only; moved execution due action to 2026-05-04.</t>
        </is>
      </c>
    </row>
    <row r="106" s="80">
      <c r="A106" s="190" t="inlineStr">
        <is>
          <t>SCR-BO-021</t>
        </is>
      </c>
      <c r="B106" s="190" t="inlineStr">
        <is>
          <t>Dushyant Sachdeva</t>
        </is>
      </c>
      <c r="C106" s="190" t="inlineStr">
        <is>
          <t>MLK Waste Management</t>
        </is>
      </c>
      <c r="D106" s="190" t="inlineStr">
        <is>
          <t>Business</t>
        </is>
      </c>
      <c r="E106" s="190" t="inlineStr">
        <is>
          <t>B</t>
        </is>
      </c>
      <c r="F106" s="190" t="inlineStr">
        <is>
          <t>New</t>
        </is>
      </c>
      <c r="G106" s="190" t="inlineStr"/>
      <c r="H106" s="190" t="inlineStr">
        <is>
          <t>Queue after industrial Tier A sends. Use waste-management expansion and municipal/client contract choices as the decision-validation opener.</t>
        </is>
      </c>
      <c r="I106" s="190" t="inlineStr">
        <is>
          <t>2026-05-04</t>
        </is>
      </c>
      <c r="J106" s="190" t="inlineStr">
        <is>
          <t>Waiting</t>
        </is>
      </c>
      <c r="K106" s="190" t="inlineStr">
        <is>
          <t>Channel: info@mlkwastemanagement.com | 9713001535 | 9987125243 | 080-43053046 | Contact: Dushyant Sachdeva | Managing Partner | MLK Waste Management manufacturing | Source: Identify Business Owners &gt;2Cr | Decision_Gap: Waste-management operators face contract, equipment, and expansion decisions where wrong assumptions can lock capital into poor routes. | BharatiBiz public listing names managing partner, email, phones, 2014 founding signal, Govindpura address, and waste-management category. Keep as validated Tier B route. | [2026-05-03 Sunday planning rule] Sunday is planning-only; moved execution due action to 2026-05-04.</t>
        </is>
      </c>
    </row>
    <row r="107" s="80">
      <c r="A107" s="190" t="inlineStr">
        <is>
          <t>SCR-CA-018</t>
        </is>
      </c>
      <c r="B107" s="190" t="inlineStr">
        <is>
          <t>Mr. Nitin Sharma</t>
        </is>
      </c>
      <c r="C107" s="190" t="inlineStr">
        <is>
          <t>Ratlam Branch of CIRC of ICAI</t>
        </is>
      </c>
      <c r="D107" s="190" t="inlineStr">
        <is>
          <t>CA</t>
        </is>
      </c>
      <c r="E107" s="190" t="inlineStr">
        <is>
          <t>B</t>
        </is>
      </c>
      <c r="F107" s="190" t="inlineStr">
        <is>
          <t>New</t>
        </is>
      </c>
      <c r="G107" s="190" t="inlineStr"/>
      <c r="H107" s="190" t="inlineStr">
        <is>
          <t>Queue as district branch expansion after Bhopal/Indore first-wave touches. Ask who owns member programming around client decisions that looked informed but were not validated.</t>
        </is>
      </c>
      <c r="I107" s="190" t="inlineStr">
        <is>
          <t>2026-05-04</t>
        </is>
      </c>
      <c r="J107" s="190" t="inlineStr">
        <is>
          <t>Waiting</t>
        </is>
      </c>
      <c r="K107" s="190" t="inlineStr">
        <is>
          <t>Channel: ratlam@icai.org | 07412-406080 | 99810-78084 | Contact: Mr. Nitin Sharma | Branch staff contact | Ratlam Branch of CIRC of ICAI | Source: Contact CA Associations | Decision_Gap: District CA branches can distribute the validation gap locally once the first-city branch route proves member relevance. | Public CIRC Ratlam office-bearer PDF 2025-2026 lists branch phone, staff contact, mobile, and branch email. Hold behind Bhopal/Indore. | [2026-05-03 Sunday planning rule] Sunday is planning-only; moved execution due action to 2026-05-04.</t>
        </is>
      </c>
    </row>
    <row r="108" s="80">
      <c r="A108" s="190" t="inlineStr">
        <is>
          <t>SCR-CA-019</t>
        </is>
      </c>
      <c r="B108" s="190" t="inlineStr">
        <is>
          <t>Mohit Shreemal</t>
        </is>
      </c>
      <c r="C108" s="190" t="inlineStr">
        <is>
          <t>Ratlam Branch of CIRC of ICAI</t>
        </is>
      </c>
      <c r="D108" s="190" t="inlineStr">
        <is>
          <t>CA</t>
        </is>
      </c>
      <c r="E108" s="190" t="inlineStr">
        <is>
          <t>B</t>
        </is>
      </c>
      <c r="F108" s="190" t="inlineStr">
        <is>
          <t>New</t>
        </is>
      </c>
      <c r="G108" s="190" t="inlineStr"/>
      <c r="H108" s="190" t="inlineStr">
        <is>
          <t>Prepare Ratlam chairman outreach after first-wave CA sends. Open with clients who had information and confidence but no validation before money moved.</t>
        </is>
      </c>
      <c r="I108" s="190" t="inlineStr">
        <is>
          <t>2026-05-04</t>
        </is>
      </c>
      <c r="J108" s="190" t="inlineStr">
        <is>
          <t>Waiting</t>
        </is>
      </c>
      <c r="K108" s="190" t="inlineStr">
        <is>
          <t>Channel: mit.ca21@gmail.com | 9827313152 | Contact: CA Mohit Shreemal | Chairman, Ratlam Branch of CIRC of ICAI | Source: Contact CA Associations | Decision_Gap: A district chair can sponsor a practical member conversation if the problem is framed as client decision quality, not education. | Public CIRC Ratlam office-bearer PDF 2025-2026 lists role, mobile, and email. Use after Bhopal/Indore route or if Follow-up 1 creates no reply. | [2026-05-03 Sunday planning rule] Sunday is planning-only; moved execution due action to 2026-05-04.</t>
        </is>
      </c>
    </row>
    <row r="109" s="80">
      <c r="A109" s="190" t="inlineStr">
        <is>
          <t>SCR-CA-020</t>
        </is>
      </c>
      <c r="B109" s="190" t="inlineStr">
        <is>
          <t>Shagun Badjatya</t>
        </is>
      </c>
      <c r="C109" s="190" t="inlineStr">
        <is>
          <t>Ratlam Branch of CIRC of ICAI</t>
        </is>
      </c>
      <c r="D109" s="190" t="inlineStr">
        <is>
          <t>CA</t>
        </is>
      </c>
      <c r="E109" s="190" t="inlineStr">
        <is>
          <t>B</t>
        </is>
      </c>
      <c r="F109" s="190" t="inlineStr">
        <is>
          <t>New</t>
        </is>
      </c>
      <c r="G109" s="190" t="inlineStr"/>
      <c r="H109" s="190" t="inlineStr">
        <is>
          <t>Use as Ratlam secretary route if chairman route needs operational support. Ask for a short member-value conversation around validating judgment before capital commitment.</t>
        </is>
      </c>
      <c r="I109" s="190" t="inlineStr">
        <is>
          <t>2026-05-04</t>
        </is>
      </c>
      <c r="J109" s="190" t="inlineStr">
        <is>
          <t>Waiting</t>
        </is>
      </c>
      <c r="K109" s="190" t="inlineStr">
        <is>
          <t>Channel: BADJATYASHAGUN21@GMAIL.COM | 8989465866 | Contact: CA Shagun Badjatya | Secretary, Ratlam Branch of CIRC of ICAI | Source: Contact CA Associations | Decision_Gap: Secretary route matters when the branch needs a concrete calendar/action owner for a decision-quality conversation. | Public CIRC Ratlam office-bearer PDF 2025-2026 lists role, mobile, and email. Keep behind first-wave chair/secretary routes. | [2026-05-03 Sunday planning rule] Sunday is planning-only; moved execution due action to 2026-05-04.</t>
        </is>
      </c>
    </row>
    <row r="110" s="80">
      <c r="A110" s="190" t="inlineStr">
        <is>
          <t>SCR-CA-021</t>
        </is>
      </c>
      <c r="B110" s="190" t="inlineStr">
        <is>
          <t>Dilip Jain</t>
        </is>
      </c>
      <c r="C110" s="190" t="inlineStr">
        <is>
          <t>Mandsaur Branch of CIRC of ICAI</t>
        </is>
      </c>
      <c r="D110" s="190" t="inlineStr">
        <is>
          <t>CA</t>
        </is>
      </c>
      <c r="E110" s="190" t="inlineStr">
        <is>
          <t>B</t>
        </is>
      </c>
      <c r="F110" s="190" t="inlineStr">
        <is>
          <t>New</t>
        </is>
      </c>
      <c r="G110" s="190" t="inlineStr"/>
      <c r="H110" s="190" t="inlineStr">
        <is>
          <t>Queue district branch backup route. Ask branch staff who handles member programming where clients repeatedly act before validating the decision.</t>
        </is>
      </c>
      <c r="I110" s="190" t="inlineStr">
        <is>
          <t>2026-05-04</t>
        </is>
      </c>
      <c r="J110" s="190" t="inlineStr">
        <is>
          <t>Waiting</t>
        </is>
      </c>
      <c r="K110" s="190" t="inlineStr">
        <is>
          <t>Channel: MANDSAUR@ICAI.ORG | 9425106371 | Contact: Dilip Jain | Branch staff contact | Mandsaur Branch of CIRC of ICAI | Source: Contact CA Associations | Decision_Gap: Mandsaur can be useful as a smaller branch test only after the core Bhopal/Indore narrative is proven. | Public CIRC Mandsaur office-bearer PDF 2025-2026 lists branch staff contact, mobile, branch email, and website. Hold behind first-wave CA touches. | [2026-05-03 Sunday planning rule] Sunday is planning-only; moved execution due action to 2026-05-04.</t>
        </is>
      </c>
    </row>
    <row r="111" s="80">
      <c r="A111" s="190" t="inlineStr">
        <is>
          <t>SCR-CA-022</t>
        </is>
      </c>
      <c r="B111" s="190" t="inlineStr">
        <is>
          <t>Rajesh Kumar Mandwariya</t>
        </is>
      </c>
      <c r="C111" s="190" t="inlineStr">
        <is>
          <t>Mandsaur Branch of CIRC of ICAI</t>
        </is>
      </c>
      <c r="D111" s="190" t="inlineStr">
        <is>
          <t>CA</t>
        </is>
      </c>
      <c r="E111" s="190" t="inlineStr">
        <is>
          <t>B</t>
        </is>
      </c>
      <c r="F111" s="190" t="inlineStr">
        <is>
          <t>New</t>
        </is>
      </c>
      <c r="G111" s="190" t="inlineStr"/>
      <c r="H111" s="190" t="inlineStr">
        <is>
          <t>Prepare chairman outreach as district expansion. Ask what client decision pattern repeatedly fails even when the client believes they did enough homework.</t>
        </is>
      </c>
      <c r="I111" s="190" t="inlineStr">
        <is>
          <t>2026-05-04</t>
        </is>
      </c>
      <c r="J111" s="190" t="inlineStr">
        <is>
          <t>Waiting</t>
        </is>
      </c>
      <c r="K111" s="190" t="inlineStr">
        <is>
          <t>Channel: RKMANDWARIYA@GMAIL.COM | 9827222434 | Contact: CA Rajesh Kumar Mandwariya | Chairman, Mandsaur Branch of CIRC of ICAI | Source: Contact CA Associations | Decision_Gap: Chairman buy-in depends on making Fnomo feel like prevention of bad client judgment before money moves. | Public CIRC Mandsaur office-bearer PDF 2025-2026 lists role, mobile, and email. District expansion only. | [2026-05-03 Sunday planning rule] Sunday is planning-only; moved execution due action to 2026-05-04.</t>
        </is>
      </c>
    </row>
    <row r="112" s="80">
      <c r="A112" s="190" t="inlineStr">
        <is>
          <t>SCR-CA-023</t>
        </is>
      </c>
      <c r="B112" s="190" t="inlineStr">
        <is>
          <t>Nitesh Bhadada</t>
        </is>
      </c>
      <c r="C112" s="190" t="inlineStr">
        <is>
          <t>Mandsaur Branch of CIRC of ICAI</t>
        </is>
      </c>
      <c r="D112" s="190" t="inlineStr">
        <is>
          <t>CA</t>
        </is>
      </c>
      <c r="E112" s="190" t="inlineStr">
        <is>
          <t>B</t>
        </is>
      </c>
      <c r="F112" s="190" t="inlineStr">
        <is>
          <t>New</t>
        </is>
      </c>
      <c r="G112" s="190" t="inlineStr"/>
      <c r="H112" s="190" t="inlineStr">
        <is>
          <t>Use as Mandsaur secretary route after chairman or if branch inbox asks for operational owner. Keep ask to a 12-minute decision-validation member conversation.</t>
        </is>
      </c>
      <c r="I112" s="190" t="inlineStr">
        <is>
          <t>2026-05-04</t>
        </is>
      </c>
      <c r="J112" s="190" t="inlineStr">
        <is>
          <t>Waiting</t>
        </is>
      </c>
      <c r="K112" s="190" t="inlineStr">
        <is>
          <t>Channel: NITESHBHADADA@GMAIL.COM | 9770292303 | Contact: CA Nitesh Bhadada | Secretary, Mandsaur Branch of CIRC of ICAI | Source: Contact CA Associations | Decision_Gap: Secretary can convert branch interest into a meeting only if the value is specific: validate client decisions before capital is committed. | Public CIRC Mandsaur office-bearer PDF 2025-2026 lists role, mobile, and email. Keep as support route. | [2026-05-03 Sunday planning rule] Sunday is planning-only; moved execution due action to 2026-05-04.</t>
        </is>
      </c>
    </row>
    <row r="113" s="80">
      <c r="A113" s="190" t="inlineStr">
        <is>
          <t>SCR-CA-024</t>
        </is>
      </c>
      <c r="B113" s="190" t="inlineStr">
        <is>
          <t>Ankit Jain</t>
        </is>
      </c>
      <c r="C113" s="190" t="inlineStr">
        <is>
          <t>Satna District Branch of CIRC of ICAI</t>
        </is>
      </c>
      <c r="D113" s="190" t="inlineStr">
        <is>
          <t>CA</t>
        </is>
      </c>
      <c r="E113" s="190" t="inlineStr">
        <is>
          <t>B</t>
        </is>
      </c>
      <c r="F113" s="190" t="inlineStr">
        <is>
          <t>New</t>
        </is>
      </c>
      <c r="G113" s="190" t="inlineStr"/>
      <c r="H113" s="190" t="inlineStr">
        <is>
          <t>Queue Satna after first MP CA branch signal. Use branch inbox/staff route to identify the right office bearer for a client decision-quality conversation.</t>
        </is>
      </c>
      <c r="I113" s="190" t="inlineStr">
        <is>
          <t>2026-05-04</t>
        </is>
      </c>
      <c r="J113" s="190" t="inlineStr">
        <is>
          <t>Waiting</t>
        </is>
      </c>
      <c r="K113" s="190" t="inlineStr">
        <is>
          <t>Channel: satna@icai.org | casatnabranch@gmail.com | 9826133195 | 93195-44651 | Contact: Ankit Jain | Branch staff contact | Satna District Branch of CIRC of ICAI | Source: Contact CA Associations | Decision_Gap: Satna expands CA distribution, but only after first-wave branches confirm the problem language resonates. | Official ICAI CPE POU page verifies Satna branch primary email satna@icai.org, alternate email, Viram Jain contact, office bearers, and phone. Hold as district expansion behind first-wave CA route. | [2026-05-03 Sunday planning rule] Sunday is planning-only; moved execution due action to 2026-05-04.</t>
        </is>
      </c>
    </row>
    <row r="114" s="80">
      <c r="A114" s="190" t="inlineStr">
        <is>
          <t>SCR-CA-025</t>
        </is>
      </c>
      <c r="B114" s="190" t="inlineStr">
        <is>
          <t>Viram Jain</t>
        </is>
      </c>
      <c r="C114" s="190" t="inlineStr">
        <is>
          <t>Satna District Branch of CIRC of ICAI</t>
        </is>
      </c>
      <c r="D114" s="190" t="inlineStr">
        <is>
          <t>CA</t>
        </is>
      </c>
      <c r="E114" s="190" t="inlineStr">
        <is>
          <t>B</t>
        </is>
      </c>
      <c r="F114" s="190" t="inlineStr">
        <is>
          <t>New</t>
        </is>
      </c>
      <c r="G114" s="190" t="inlineStr"/>
      <c r="H114" s="190" t="inlineStr">
        <is>
          <t>Prepare Satna chairman outreach after first-wave CA sends. Ask for member perspective on client decisions that failed despite information and confidence.</t>
        </is>
      </c>
      <c r="I114" s="190" t="inlineStr">
        <is>
          <t>2026-05-04</t>
        </is>
      </c>
      <c r="J114" s="190" t="inlineStr">
        <is>
          <t>Waiting</t>
        </is>
      </c>
      <c r="K114" s="190" t="inlineStr">
        <is>
          <t>Channel: viramjain@gmail.com | 9826133195 | Contact: CA Viram Jain | Chairman, Satna District Branch of CIRC of ICAI | Source: Contact CA Associations | Decision_Gap: District chair can create branch trust if Fnomo is framed as pre-action validation, not another knowledge session. | Public CIRC Satna office-bearer PDF 2025-2026 lists role, mobile, and email. District expansion only. | [2026-05-03 Sunday planning rule] Sunday is planning-only; moved execution due action to 2026-05-04.</t>
        </is>
      </c>
    </row>
    <row r="115" s="80">
      <c r="A115" s="190" t="inlineStr">
        <is>
          <t>SCR-CA-026</t>
        </is>
      </c>
      <c r="B115" s="190" t="inlineStr">
        <is>
          <t>Ravi Prakash Agrawal</t>
        </is>
      </c>
      <c r="C115" s="190" t="inlineStr">
        <is>
          <t>Satna District Branch of CIRC of ICAI</t>
        </is>
      </c>
      <c r="D115" s="190" t="inlineStr">
        <is>
          <t>CA</t>
        </is>
      </c>
      <c r="E115" s="190" t="inlineStr">
        <is>
          <t>B</t>
        </is>
      </c>
      <c r="F115" s="190" t="inlineStr">
        <is>
          <t>New</t>
        </is>
      </c>
      <c r="G115" s="190" t="inlineStr"/>
      <c r="H115" s="190" t="inlineStr">
        <is>
          <t>Use as Satna secretary route once the chairman/branch touch is sent. Ask for the right next step to test member appetite for decision-validation conversations.</t>
        </is>
      </c>
      <c r="I115" s="190" t="inlineStr">
        <is>
          <t>2026-05-04</t>
        </is>
      </c>
      <c r="J115" s="190" t="inlineStr">
        <is>
          <t>Waiting</t>
        </is>
      </c>
      <c r="K115" s="190" t="inlineStr">
        <is>
          <t>Channel: caravisatna@gmail.com | 9407063700 | 9074946700 | Contact: CA Ravi Prakash Agrawal | Secretary, Satna District Branch of CIRC of ICAI | Source: Contact CA Associations | Decision_Gap: Secretary route can turn abstract interest into a practical member session if the ask remains narrow and decision-led. | Public CIRC Satna office-bearer PDF 2025-2026 lists role, mobiles, and email. Support route behind first-wave CA work. | [2026-05-03 Sunday planning rule] Sunday is planning-only; moved execution due action to 2026-05-04.</t>
        </is>
      </c>
    </row>
    <row r="116" s="80">
      <c r="A116" s="190" t="inlineStr">
        <is>
          <t>SCR-CA-027</t>
        </is>
      </c>
      <c r="B116" s="190" t="inlineStr">
        <is>
          <t>Kunal Purohit</t>
        </is>
      </c>
      <c r="C116" s="190" t="inlineStr">
        <is>
          <t>Neemuch District Branch of CIRC of ICAI</t>
        </is>
      </c>
      <c r="D116" s="190" t="inlineStr">
        <is>
          <t>CA</t>
        </is>
      </c>
      <c r="E116" s="190" t="inlineStr">
        <is>
          <t>B</t>
        </is>
      </c>
      <c r="F116" s="190" t="inlineStr">
        <is>
          <t>New</t>
        </is>
      </c>
      <c r="G116" s="190" t="inlineStr"/>
      <c r="H116" s="190" t="inlineStr">
        <is>
          <t>Queue Neemuch branch after Bhopal/Indore response pattern is clear. Use branch/staff route to find the programming owner for member decision-quality work.</t>
        </is>
      </c>
      <c r="I116" s="190" t="inlineStr">
        <is>
          <t>2026-05-04</t>
        </is>
      </c>
      <c r="J116" s="190" t="inlineStr">
        <is>
          <t>Waiting</t>
        </is>
      </c>
      <c r="K116" s="190" t="inlineStr">
        <is>
          <t>Channel: neemuch@icai.org | 93195 49157 | Contact: Kunal Purohit | Branch staff contact | Neemuch District Branch of CIRC of ICAI | Source: Contact CA Associations | Decision_Gap: Smaller branches are useful if they can see a practical client-value problem: decisions moving before validation. | Public CIRC Neemuch office-bearer PDF 2025-2026 lists branch staff contact, mobile, and branch email. Hold as district expansion. | [2026-05-03 Sunday planning rule] Sunday is planning-only; moved execution due action to 2026-05-04.</t>
        </is>
      </c>
    </row>
    <row r="117" s="80">
      <c r="A117" s="190" t="inlineStr">
        <is>
          <t>SCR-CA-028</t>
        </is>
      </c>
      <c r="B117" s="190" t="inlineStr">
        <is>
          <t>Vinod Kumar Jain</t>
        </is>
      </c>
      <c r="C117" s="190" t="inlineStr">
        <is>
          <t>Neemuch District Branch of CIRC of ICAI</t>
        </is>
      </c>
      <c r="D117" s="190" t="inlineStr">
        <is>
          <t>CA</t>
        </is>
      </c>
      <c r="E117" s="190" t="inlineStr">
        <is>
          <t>B</t>
        </is>
      </c>
      <c r="F117" s="190" t="inlineStr">
        <is>
          <t>New</t>
        </is>
      </c>
      <c r="G117" s="190" t="inlineStr"/>
      <c r="H117" s="190" t="inlineStr">
        <is>
          <t>Prepare Neemuch chairman outreach. Ask about the last client money decision that looked rational but lacked an independent validation step.</t>
        </is>
      </c>
      <c r="I117" s="190" t="inlineStr">
        <is>
          <t>2026-05-04</t>
        </is>
      </c>
      <c r="J117" s="190" t="inlineStr">
        <is>
          <t>Waiting</t>
        </is>
      </c>
      <c r="K117" s="190" t="inlineStr">
        <is>
          <t>Channel: vkjainnmh@yahoo.com | 94251 07074 | Contact: CA Vinod Kumar Jain | Chairman, Neemuch District Branch of CIRC of ICAI | Source: Contact CA Associations | Decision_Gap: Chair-level interest will depend on seeing Fnomo as a preventive layer for client judgment before capital is committed. | Public CIRC Neemuch office-bearer PDF 2025-2026 lists role, mobile, and email. District expansion only. | [2026-05-03 Sunday planning rule] Sunday is planning-only; moved execution due action to 2026-05-04.</t>
        </is>
      </c>
    </row>
    <row r="118" s="80">
      <c r="A118" s="190" t="inlineStr">
        <is>
          <t>SCR-CA-029</t>
        </is>
      </c>
      <c r="B118" s="190" t="inlineStr">
        <is>
          <t>Bhavesh Sinhal</t>
        </is>
      </c>
      <c r="C118" s="190" t="inlineStr">
        <is>
          <t>Neemuch District Branch of CIRC of ICAI</t>
        </is>
      </c>
      <c r="D118" s="190" t="inlineStr">
        <is>
          <t>CA</t>
        </is>
      </c>
      <c r="E118" s="190" t="inlineStr">
        <is>
          <t>B</t>
        </is>
      </c>
      <c r="F118" s="190" t="inlineStr">
        <is>
          <t>New</t>
        </is>
      </c>
      <c r="G118" s="190" t="inlineStr"/>
      <c r="H118" s="190" t="inlineStr">
        <is>
          <t>Use as Neemuch secretary route if chairman or branch inbox needs operational follow-up. Keep ask focused on a short decision-validation member conversation.</t>
        </is>
      </c>
      <c r="I118" s="190" t="inlineStr">
        <is>
          <t>2026-05-04</t>
        </is>
      </c>
      <c r="J118" s="190" t="inlineStr">
        <is>
          <t>Waiting</t>
        </is>
      </c>
      <c r="K118" s="190" t="inlineStr">
        <is>
          <t>Channel: bhaveshsinhalca@gmail.com | 99269 79888 | Contact: CA Bhavesh Sinhal | Secretary, Neemuch District Branch of CIRC of ICAI | Source: Contact CA Associations | Decision_Gap: Secretary support matters only if the outreach names the concrete pattern: clients acting from confidence before validation. | Public CIRC Neemuch office-bearer PDF 2025-2026 lists role, mobile, and email. Support route behind first-wave branches. | [2026-05-03 Sunday planning rule] Sunday is planning-only; moved execution due action to 2026-05-04.</t>
        </is>
      </c>
    </row>
    <row r="119">
      <c r="A119" s="190" t="inlineStr">
        <is>
          <t>SCR-BO-022</t>
        </is>
      </c>
      <c r="B119" s="190" t="inlineStr">
        <is>
          <t>J.B. Sangwan</t>
        </is>
      </c>
      <c r="C119" s="190" t="inlineStr">
        <is>
          <t>Electro Auto Industries</t>
        </is>
      </c>
      <c r="D119" s="190" t="inlineStr">
        <is>
          <t>Business</t>
        </is>
      </c>
      <c r="E119" s="190" t="inlineStr">
        <is>
          <t>A</t>
        </is>
      </c>
      <c r="F119" s="190" t="inlineStr">
        <is>
          <t>New</t>
        </is>
      </c>
      <c r="G119" s="190" t="inlineStr"/>
      <c r="H119" s="190" t="inlineStr">
        <is>
          <t>After first-wave follow-ups are logged, send J.B. Sangwan a fabrication/transformer-tank note; use admin@electroautoindustries.com as official route if jbsangwan@electroautoindustries.com does not resolve, then one call to 9425013208 only after email logging.</t>
        </is>
      </c>
      <c r="I119" s="190" t="inlineStr">
        <is>
          <t>2026-05-04</t>
        </is>
      </c>
      <c r="J119" s="190" t="inlineStr">
        <is>
          <t>Active</t>
        </is>
      </c>
      <c r="K119" s="190" t="inlineStr">
        <is>
          <t>Channel: jbsangwan@electroautoindustries.com | admin@electroautoindustries.com | 9425013208 | 7746069999 | 0755-4097100 | Contact: Mr. J.B. Sangwan | Proprietor / Director | Electro Auto Industries; Rahul Sangwan support route | Source: Identify Business Owners &gt;2Cr | Decision_Gap: Large fabrication owners commit to production, material, quality, and customer-credit decisions before the judgment behind the move is independently validated. | Official Electro Auto pages list J.B. Sangwan as founder/MD/proprietor, public direct email/phones, Bhopal Govindpura location, and EAI Power director route. Tier A because named owner/director path is public and industrial decision value is high. | [2026-05-03 overnight priority enrichment v2] Official Electro Auto management page confirms J.B. Sangwan as Managing Director/founder, office 0755-4097100, J.B. mobile 9425013208, Rahul Sangwan 7746069999, and admin@electroautoindustries.com. Keep founder route first; Rahul is support only.</t>
        </is>
      </c>
      <c r="L119" t="inlineStr">
        <is>
          <t>Verified Public Route; Second Batch Owner Route</t>
        </is>
      </c>
    </row>
    <row r="120">
      <c r="A120" s="190" t="inlineStr">
        <is>
          <t>SCR-BO-023</t>
        </is>
      </c>
      <c r="B120" s="190" t="inlineStr">
        <is>
          <t>Yateesh Kumar</t>
        </is>
      </c>
      <c r="C120" s="190" t="inlineStr">
        <is>
          <t>T S Industrys</t>
        </is>
      </c>
      <c r="D120" s="190" t="inlineStr">
        <is>
          <t>Business</t>
        </is>
      </c>
      <c r="E120" s="190" t="inlineStr">
        <is>
          <t>A</t>
        </is>
      </c>
      <c r="F120" s="190" t="inlineStr">
        <is>
          <t>New</t>
        </is>
      </c>
      <c r="G120" s="190" t="inlineStr"/>
      <c r="H120" s="190" t="inlineStr">
        <is>
          <t>After first-wave follow-ups are logged, send Yateesh Kumar via ceo@tsindustrys.com; if no reply, route Shikhar/marketing and Akshat/sales with project-risk validation angle.</t>
        </is>
      </c>
      <c r="I120" s="190" t="inlineStr">
        <is>
          <t>2026-05-04</t>
        </is>
      </c>
      <c r="J120" s="190" t="inlineStr">
        <is>
          <t>Active</t>
        </is>
      </c>
      <c r="K120" s="190" t="inlineStr">
        <is>
          <t>Channel: ceo@tsindustrys.com | tsindustrys@rediffmail.com | +91-755-420-5114; sales@tsindustrys.com; +91-8871791957 | Contact: Mr. Yateesh Kumar | Chief Executive Officer | T S Industrys, Govindpura | Source: Identify Business Owners &gt;2Cr | Decision_Gap: Project-fabrication businesses take high-consequence customer, design, procurement, and delivery calls where information exists but decision quality is still untested. | Official T S Industrys site lists CEO Yateesh Kumar, direct CEO email, company email, phone, ISO profile, and fabrication sectors including steel, cement, hydro, thermal, petrochemical, and refineries. | [2026-05-03 overnight priority enrichment v2] Official T S Industrys site confirms CEO Mr. Yateesh Kumar at ceo@tsindustrys.com, company email tsindustrys@rediffmail.com, sales@tsindustrys.com, phone +91-8871791957, and Akshat Sharma for marketing/projects. Decision gap: customer spec, procurement, delivery, and project-scope assumptions before quote/action. | [2026-05-03 overnight public-route refresh] Official T S Industrys site verifies CEO Mr. Yateesh Kumar at ceo@tsindustrys.com, President Business Development Mr. Girish Nanoti, Marketing/Projects Mr. Akshat Sharma at sales@tsindustrys.com, and support phone +91-8871791957. Use CEO first, sales/BD only as support. | [2026-05-03 overnight verified-contact pass] Official T S Industrys site confirms CEO Mr. Yateesh Kumar/ceo@tsindustrys.com, marketing@tsindustrys.com, sales@tsindustrys.com, tsindustrys@rediffmail.com and +91-755-420-5114.</t>
        </is>
      </c>
      <c r="L120" t="inlineStr">
        <is>
          <t>Verified Public Route; Second Batch Owner Route; Manufacturing Owner</t>
        </is>
      </c>
    </row>
    <row r="121">
      <c r="A121" s="190" t="inlineStr">
        <is>
          <t>SCR-BO-024</t>
        </is>
      </c>
      <c r="B121" s="190" t="inlineStr">
        <is>
          <t>Vikas Prakash</t>
        </is>
      </c>
      <c r="C121" s="190" t="inlineStr">
        <is>
          <t>Cee Dee Industries</t>
        </is>
      </c>
      <c r="D121" s="190" t="inlineStr">
        <is>
          <t>Business</t>
        </is>
      </c>
      <c r="E121" s="190" t="inlineStr">
        <is>
          <t>A</t>
        </is>
      </c>
      <c r="F121" s="190" t="inlineStr">
        <is>
          <t>New</t>
        </is>
      </c>
      <c r="G121" s="190" t="inlineStr"/>
      <c r="H121" s="190" t="inlineStr">
        <is>
          <t>After first-wave follow-ups are logged, send Vikash/Vikas Prakash via ceedee@cdindus.com first; use cdhose support only if needed, then phone follow-up on the OEM/mining/defence commitment validation angle.</t>
        </is>
      </c>
      <c r="I121" s="190" t="inlineStr">
        <is>
          <t>2026-05-04</t>
        </is>
      </c>
      <c r="J121" s="190" t="inlineStr">
        <is>
          <t>Active</t>
        </is>
      </c>
      <c r="K121" s="190" t="inlineStr">
        <is>
          <t>Channel: ceedee@cdindus.com | ceedee@cdhose.com | 0755-2586853 / 0755-4261742 / 0755-4271742 | 9826022003 | Contact: Vikash/Vikas Prakash | Managing Director / owner route | Cee Dee Industries. Source confidence: Autocar professional directory names Vikash Prakash as Managing Director with ceedee@cdindus.com and mobile 9826022003; official Cee Dee/cdhose facility page verifies ceedee@cdhose.com and Govindpura manufacturing route. Decision_Gap: ask which OEM, mining, defence-hose, material-price, or customer-credit commitment looked technical but needed decision validation before lock-in.</t>
        </is>
      </c>
      <c r="L121" t="inlineStr">
        <is>
          <t>Verified Public Route; Tier A Second Batch; Named MD Route; Manufacturing Owner</t>
        </is>
      </c>
    </row>
    <row r="122">
      <c r="A122" s="190" t="inlineStr">
        <is>
          <t>SCR-BO-025</t>
        </is>
      </c>
      <c r="B122" s="190" t="inlineStr">
        <is>
          <t>K.G. Bansal</t>
        </is>
      </c>
      <c r="C122" s="190" t="inlineStr">
        <is>
          <t>Enterprising Engineers</t>
        </is>
      </c>
      <c r="D122" s="190" t="inlineStr">
        <is>
          <t>Business</t>
        </is>
      </c>
      <c r="E122" s="190" t="inlineStr">
        <is>
          <t>A</t>
        </is>
      </c>
      <c r="F122" s="190" t="inlineStr">
        <is>
          <t>New</t>
        </is>
      </c>
      <c r="G122" s="190" t="inlineStr"/>
      <c r="H122" s="190" t="inlineStr">
        <is>
          <t>After first-wave follow-ups are logged, send K.G. Bansal first; if stalled, route Aparna Bansal as managing partner and Nitin Bansal as CEO support.</t>
        </is>
      </c>
      <c r="I122" s="190" t="inlineStr">
        <is>
          <t>2026-05-04</t>
        </is>
      </c>
      <c r="J122" s="190" t="inlineStr">
        <is>
          <t>Active</t>
        </is>
      </c>
      <c r="K122" s="190" t="inlineStr">
        <is>
          <t>Channel: kgbansal2@gmail.com | salesenquiry.ee@gmail.com | +91-755-2602964 | 0755-2586684 | office mobile 9303196591 | K.G. 9303132068 | IndiaMART route 07942554713 | Contact: K.G. Bansal | Managing Director; Nitin Bansal | CEO; Aparna Bansal | Managing Partner | Enterprising Engineers, Govindpura | Source: Identify Business Owners &gt;2Cr | Decision_Gap: Electrical panel and starter manufacturers carry costly spec, inventory, supplier, and customer-credit decisions where technical confidence can hide untested commercial assumptions. | GIA directory lists K.G. direct email/GST/phones; SME profile lists K.G. as MD, Nitin as CEO, Aparna as managing partner, sales email, office mobile, and ISO manufacturing profile. IndiaMART supports 5-25 Cr turnover signal. Replaces prior contact-form-only route. | [2026-05-03 overnight priority enrichment v2] IndiaMART public profile reconfirms K.G. Bansal as Managing Director, manufacturer status, 51-100 people, partnership, GST 23AAAFE8864C1ZO, and annual turnover 5-25 Cr. Keep Tier A; do not dilute with non-owner sales routes unless MD route stalls. | [2026-05-03 overnight public-route refresh] Public SME/IndiaMART routes reconfirm K.G. Bansal as Managing Director, Mrs. Aparna Bansal as Managing Partner, office mobile 9303196591, 5-25 Cr turnover signal, and control-panel/interlock product fit. Keep KG first; Aparna/Nitin are support routes. | [2026-05-03 overnight verified-contact pass] Public Enterprising Engineers sources confirm K.G. Bansal Managing Director, Aparna Bansal Managing Partner, salesenquiry.ee@gmail.com, +91-755-2602964/2586684 and office mobile 9303196591.</t>
        </is>
      </c>
      <c r="L122" t="inlineStr">
        <is>
          <t>Verified Public Route; Second Batch Owner Route; Manufacturing Owner</t>
        </is>
      </c>
    </row>
    <row r="123">
      <c r="A123" s="190" t="inlineStr">
        <is>
          <t>SCR-BO-026</t>
        </is>
      </c>
      <c r="B123" s="190" t="inlineStr">
        <is>
          <t>Partnership concern</t>
        </is>
      </c>
      <c r="C123" s="190" t="inlineStr">
        <is>
          <t>Global Heavy Engineering Industries</t>
        </is>
      </c>
      <c r="D123" s="190" t="inlineStr">
        <is>
          <t>Business</t>
        </is>
      </c>
      <c r="E123" s="190" t="inlineStr">
        <is>
          <t>B</t>
        </is>
      </c>
      <c r="F123" s="190" t="inlineStr">
        <is>
          <t>New</t>
        </is>
      </c>
      <c r="G123" s="190" t="inlineStr"/>
      <c r="H123" s="190" t="inlineStr">
        <is>
          <t>Queue after named Tier A industrial owner sends. First call +91-9893421996 to identify the partner/decision owner; do not treat info@globalheavyeng.com as a decision-maker route.</t>
        </is>
      </c>
      <c r="I123" s="190" t="inlineStr">
        <is>
          <t>2026-05-04</t>
        </is>
      </c>
      <c r="J123" s="190" t="inlineStr">
        <is>
          <t>Waiting</t>
        </is>
      </c>
      <c r="K123" s="190" t="inlineStr">
        <is>
          <t>Channel: info@globalheavyeng.com | +91-9893421996 | 0755-2601448 | Contact: Partnership concern; named partner not public on official contact page. Official Global Heavy site confirms Govindpura address, heavy fabrication/machining profile, ISO 9001 signal, business hours, email, and phones, but no director/partner name. Decision_Gap: heavy fabrication partners face supplier, job-costing, capacity, and client-commitment decisions with real capital risk; this row becomes Tier A only after a named owner/partner is verified.</t>
        </is>
      </c>
      <c r="L123" t="inlineStr">
        <is>
          <t>Queued Expansion; Official Generic Route; Owner Verification Needed; Tier B Guardrail</t>
        </is>
      </c>
    </row>
    <row r="124">
      <c r="A124" s="190" t="inlineStr">
        <is>
          <t>SCR-CA-030</t>
        </is>
      </c>
      <c r="B124" s="190" t="inlineStr">
        <is>
          <t>Vivek Jain</t>
        </is>
      </c>
      <c r="C124" s="190" t="inlineStr">
        <is>
          <t>Khandwa CPE Study Chapter of CIRC of ICAI</t>
        </is>
      </c>
      <c r="D124" s="190" t="inlineStr">
        <is>
          <t>CA</t>
        </is>
      </c>
      <c r="E124" s="190" t="inlineStr">
        <is>
          <t>B</t>
        </is>
      </c>
      <c r="F124" s="190" t="inlineStr">
        <is>
          <t>New</t>
        </is>
      </c>
      <c r="G124" s="190" t="inlineStr"/>
      <c r="H124" s="190" t="inlineStr">
        <is>
          <t>Queue after Bhopal/Indore and current district-branch sends. Ask Vivek Jain which member forum owns client decision-quality conversations in Khandwa.</t>
        </is>
      </c>
      <c r="I124" s="190" t="inlineStr">
        <is>
          <t>2026-05-04</t>
        </is>
      </c>
      <c r="J124" s="190" t="inlineStr">
        <is>
          <t>Waiting</t>
        </is>
      </c>
      <c r="K124" s="190" t="inlineStr">
        <is>
          <t>Channel: v.jain1412@yahoo.com | cadeepakbasantani@gmail.com | camanishrj@gmail.com | 9039515267 | 9039490777 | Contact: CA Vivek Jain | Convenor; CA Manish Bothra | Dy Convenor | Source: Contact CA Associations | Decision_Gap: Study chapters can surface the validation gap in smaller CA markets if the ask stays practical: client decisions that had information but no pre-action judgment check. | Official ICAI CPE POU page lists Khandwa chapter contact person, primary/alternate emails, phone, and 2025-2026 office bearers. Hold behind current Tier A branch route. | [2026-05-03 Sunday planning rule] Sunday is planning-only; moved execution due action to 2026-05-04.</t>
        </is>
      </c>
    </row>
    <row r="125">
      <c r="A125" s="190" t="inlineStr">
        <is>
          <t>SCR-CA-031</t>
        </is>
      </c>
      <c r="B125" s="190" t="inlineStr">
        <is>
          <t>Sunil Kumar Hirani</t>
        </is>
      </c>
      <c r="C125" s="190" t="inlineStr">
        <is>
          <t>Betul CPE Study Chapter of CIRC</t>
        </is>
      </c>
      <c r="D125" s="190" t="inlineStr">
        <is>
          <t>CA</t>
        </is>
      </c>
      <c r="E125" s="190" t="inlineStr">
        <is>
          <t>B</t>
        </is>
      </c>
      <c r="F125" s="190" t="inlineStr">
        <is>
          <t>New</t>
        </is>
      </c>
      <c r="G125" s="190" t="inlineStr"/>
      <c r="H125" s="190" t="inlineStr">
        <is>
          <t>Queue as current 2026-2027 CPE study chapter route after first MP branch touches. Send only once the Bhopal/Indore decision-gap language is proven.</t>
        </is>
      </c>
      <c r="I125" s="190" t="inlineStr">
        <is>
          <t>2026-05-04</t>
        </is>
      </c>
      <c r="J125" s="190" t="inlineStr">
        <is>
          <t>Waiting</t>
        </is>
      </c>
      <c r="K125" s="190" t="inlineStr">
        <is>
          <t>Channel: SUNILKUMARHIRANI2425@GMAIL.COM | CA.SACHINARYA@HOTMAIL.COM | bangadanilkumar@gmail.com | betulcpe@gmail.com | 9425002425 | 9425004137 | Contact: CA Sunil Kumar Hirani | Convenor; CA Sachin Arya | Dy Convenor | Source: Contact CA Associations | Decision_Gap: Betul is useful for distributed CA trust-building if Fnomo is framed around preventing client money decisions that felt rational before failing. | Official ICAI CPE Directorate POU page lists 2026-2027 Betul office bearers plus primary/alternate chapter emails. Keep as Tier B expansion, not before Tier A branch leadership. | [2026-05-03 Sunday planning rule] Sunday is planning-only; moved execution due action to 2026-05-04.</t>
        </is>
      </c>
    </row>
    <row r="126">
      <c r="A126" s="190" t="inlineStr">
        <is>
          <t>SCR-CA-032</t>
        </is>
      </c>
      <c r="B126" s="190" t="inlineStr">
        <is>
          <t>Sushil Kumar Singhal</t>
        </is>
      </c>
      <c r="C126" s="190" t="inlineStr">
        <is>
          <t>Shahdol CPE Study Chapter of CIRC of ICAI</t>
        </is>
      </c>
      <c r="D126" s="190" t="inlineStr">
        <is>
          <t>CA</t>
        </is>
      </c>
      <c r="E126" s="190" t="inlineStr">
        <is>
          <t>B</t>
        </is>
      </c>
      <c r="F126" s="190" t="inlineStr">
        <is>
          <t>New</t>
        </is>
      </c>
      <c r="G126" s="190" t="inlineStr"/>
      <c r="H126" s="190" t="inlineStr">
        <is>
          <t>Queue as smaller chapter route after stronger city branches. Ask Sushil Kumar Singhal for a narrow member discussion on client decisions that moved before validation.</t>
        </is>
      </c>
      <c r="I126" s="190" t="inlineStr">
        <is>
          <t>2026-05-04</t>
        </is>
      </c>
      <c r="J126" s="190" t="inlineStr">
        <is>
          <t>Waiting</t>
        </is>
      </c>
      <c r="K126" s="190" t="inlineStr">
        <is>
          <t>Channel: cashahdol@gmail.com | arora.daljeet@gmail.com | 9425183200 | 9407812977 | Contact: CA Sushil Kumar Singhal | Convenor; Daljeet Singh Arora | Dy Convenor | Source: Contact CA Associations | Decision_Gap: Smaller CA chapters can validate whether the client-decision problem resonates beyond Bhopal/Indore before broader branch scaling. | Official ICAI CPE POU page lists Shahdol chapter contact person, primary/alternate emails, phones, and 2025-2026 office bearers. Tier B expansion. | [2026-05-03 Sunday planning rule] Sunday is planning-only; moved execution due action to 2026-05-04.</t>
        </is>
      </c>
    </row>
    <row r="127">
      <c r="A127" s="190" t="inlineStr">
        <is>
          <t>SCR-CA-033</t>
        </is>
      </c>
      <c r="B127" s="190" t="inlineStr">
        <is>
          <t>Dharmendra Jain</t>
        </is>
      </c>
      <c r="C127" s="190" t="inlineStr">
        <is>
          <t>Shivpuri CPE Study Chapter of CIRC of ICAI</t>
        </is>
      </c>
      <c r="D127" s="190" t="inlineStr">
        <is>
          <t>CA</t>
        </is>
      </c>
      <c r="E127" s="190" t="inlineStr">
        <is>
          <t>B</t>
        </is>
      </c>
      <c r="F127" s="190" t="inlineStr">
        <is>
          <t>New</t>
        </is>
      </c>
      <c r="G127" s="190" t="inlineStr"/>
      <c r="H127" s="190" t="inlineStr">
        <is>
          <t>Queue after current branch/chapter sends. Use Dharmendra Jain as chapter contact and Ashish Goyal/Sanyam Jain as office-bearer routes only when first-wave CA sends are logged.</t>
        </is>
      </c>
      <c r="I127" s="190" t="inlineStr">
        <is>
          <t>2026-05-04</t>
        </is>
      </c>
      <c r="J127" s="190" t="inlineStr">
        <is>
          <t>Waiting</t>
        </is>
      </c>
      <c r="K127" s="190" t="inlineStr">
        <is>
          <t>Channel: JAIN.DHARMENDRA@ICAI.ORG | g2a_ca@rediffmail.com | casanyamjain@rediffmail.com | 9425430430 | 9993274175 | 7828461116 | Contact: Dharmendra Jain | Chapter contact; CA Ashish Goyal | Convenor; CA Sanyam Jain | Dy Convenor | Source: Contact CA Associations | Decision_Gap: Chapter-level CA outreach must prove practical member value by asking about the last client decision that looked informed but lacked validation before capital moved. | Official ICAI CPE POU page lists Shivpuri contact email/phone and 2025-2026 office bearers. Tier B expansion behind active Tier A CA route. | [2026-05-03 Sunday planning rule] Sunday is planning-only; moved execution due action to 2026-05-04.</t>
        </is>
      </c>
    </row>
    <row r="128">
      <c r="A128" s="190" t="inlineStr">
        <is>
          <t>SCR-CA-034</t>
        </is>
      </c>
      <c r="B128" s="190" t="inlineStr">
        <is>
          <t>CIRC Central Regional Office</t>
        </is>
      </c>
      <c r="C128" s="190" t="inlineStr">
        <is>
          <t>CA Govind Agarwal</t>
        </is>
      </c>
      <c r="D128" s="190" t="inlineStr">
        <is>
          <t>CA</t>
        </is>
      </c>
      <c r="E128" s="190" t="inlineStr">
        <is>
          <t>A</t>
        </is>
      </c>
      <c r="F128" s="190" t="inlineStr">
        <is>
          <t>Contacted</t>
        </is>
      </c>
      <c r="G128" s="190" t="inlineStr">
        <is>
          <t>2026-05-02</t>
        </is>
      </c>
      <c r="H128" s="190" t="inlineStr">
        <is>
          <t>Use Govind/CIRC only if Bhopal/Indore ownership stalls after logged follow-ups; ask for the correct branch/regional owner, not a generic collaboration call.</t>
        </is>
      </c>
      <c r="I128" s="190" t="inlineStr">
        <is>
          <t>2026-05-04</t>
        </is>
      </c>
      <c r="J128" s="190" t="inlineStr">
        <is>
          <t>Active</t>
        </is>
      </c>
      <c r="K128" s="190" t="inlineStr">
        <is>
          <t>Channel: govind.agarwal@icai.in | circ@icai.in | member query phones 9305804344, 9305804347 | ICAI call center 99975 99975 | Contact: CA Govind Agarwal / CIRC admin route. Current hierarchy: keep Arpit/Abhishek local Bhopal first; Milind then Samkit/Narayan for Indore 2026-27 handover; regional office-bearer rows Ankur/Ankush/Nirbhik are escalation paths only. Decision_Gap: escalation exists to route ownership after local silence, not to bypass branch-level trust.</t>
        </is>
      </c>
      <c r="L128" t="inlineStr">
        <is>
          <t>Messaging Test Batch 1; Follow-up 1; Verified Public Route; Escalation Only; Admin Route; Current CA Hierarchy</t>
        </is>
      </c>
    </row>
    <row r="129">
      <c r="A129" s="190" t="inlineStr">
        <is>
          <t>SCR-BO-027</t>
        </is>
      </c>
      <c r="B129" s="190" t="inlineStr">
        <is>
          <t>Mrs. Lilly Benance</t>
        </is>
      </c>
      <c r="C129" s="190" t="inlineStr">
        <is>
          <t>Emjay Industries</t>
        </is>
      </c>
      <c r="D129" s="190" t="inlineStr">
        <is>
          <t>Business</t>
        </is>
      </c>
      <c r="E129" s="190" t="inlineStr">
        <is>
          <t>B</t>
        </is>
      </c>
      <c r="F129" s="190" t="inlineStr">
        <is>
          <t>New</t>
        </is>
      </c>
      <c r="G129" s="190" t="inlineStr"/>
      <c r="H129" s="190" t="inlineStr">
        <is>
          <t>Queue after current Tier A owner sends. Send only once first-wave touches are logged; ask about the last traction-motor, hydro-generator, or control-gear production decision that looked right before assumptions changed.</t>
        </is>
      </c>
      <c r="I129" s="190" t="inlineStr">
        <is>
          <t>2026-05-04</t>
        </is>
      </c>
      <c r="J129" s="190" t="inlineStr">
        <is>
          <t>Waiting</t>
        </is>
      </c>
      <c r="K129" s="190" t="inlineStr">
        <is>
          <t>Channel: emjayindustries@yahoo.com | 0755-4262155 | 0755-2784079 | P Benance 9893096366 | Contact: Mrs. Lilly Benance; P Benance | Emjay Industries, Govindpura | Source: Identify Business Owners &gt;2Cr | Decision_Gap: Industrial component owners make procurement, material, and delivery commitments where technical confidence can outrun decision validation. | GIA directory lists website/email/GST, named contacts, phones, and products: traction motor parts, hydro generator copper parts, control gear parts. Keep Tier B until scale or intent is confirmed. | [2026-05-03 Sunday planning rule] Sunday is planning-only; moved execution due action to 2026-05-04.</t>
        </is>
      </c>
    </row>
    <row r="130">
      <c r="A130" s="190" t="inlineStr">
        <is>
          <t>SCR-BO-028</t>
        </is>
      </c>
      <c r="B130" s="190" t="inlineStr">
        <is>
          <t>Manish Daryani</t>
        </is>
      </c>
      <c r="C130" s="190" t="inlineStr">
        <is>
          <t>Engineering Associates</t>
        </is>
      </c>
      <c r="D130" s="190" t="inlineStr">
        <is>
          <t>Business</t>
        </is>
      </c>
      <c r="E130" s="190" t="inlineStr">
        <is>
          <t>B</t>
        </is>
      </c>
      <c r="F130" s="190" t="inlineStr">
        <is>
          <t>New</t>
        </is>
      </c>
      <c r="G130" s="190" t="inlineStr"/>
      <c r="H130" s="190" t="inlineStr">
        <is>
          <t>Queue after Tier A industrial owners. Open with transformer and HT/LT line decisions where the downside appears only after procurement, credit, or installation commitments are made.</t>
        </is>
      </c>
      <c r="I130" s="190" t="inlineStr">
        <is>
          <t>2026-05-04</t>
        </is>
      </c>
      <c r="J130" s="190" t="inlineStr">
        <is>
          <t>Waiting</t>
        </is>
      </c>
      <c r="K130" s="190" t="inlineStr">
        <is>
          <t>Channel: engineerassociate@yahoo.com | 0755-2588071 | 0755-2602654 | 9826014525 | 8827392201 | Contact: Manish Daryani | Engineering Associates and Unit-II Transformer Unit, Govindpura | Source: Identify Business Owners &gt;2Cr | Decision_Gap: Transformer and sub-station suppliers face high-consequence purchase, spec, vendor, and customer-risk calls that need validation before action. | GIA/product-wise directory lists named contact, email, phones, two units, and transformer/HT-LT/sub-station product focus. Verify scale before Tier A promotion. | [2026-05-03 Sunday planning rule] Sunday is planning-only; moved execution due action to 2026-05-04.</t>
        </is>
      </c>
    </row>
    <row r="131">
      <c r="A131" s="190" t="inlineStr">
        <is>
          <t>SCR-BO-029</t>
        </is>
      </c>
      <c r="B131" s="190" t="inlineStr">
        <is>
          <t>Ashwani Bansal</t>
        </is>
      </c>
      <c r="C131" s="190" t="inlineStr">
        <is>
          <t>Enterprising Consulting Engineers</t>
        </is>
      </c>
      <c r="D131" s="190" t="inlineStr">
        <is>
          <t>Business</t>
        </is>
      </c>
      <c r="E131" s="190" t="inlineStr">
        <is>
          <t>B</t>
        </is>
      </c>
      <c r="F131" s="190" t="inlineStr">
        <is>
          <t>New</t>
        </is>
      </c>
      <c r="G131" s="190" t="inlineStr"/>
      <c r="H131" s="190" t="inlineStr">
        <is>
          <t>Queue as named industrial second wave. Ask about the last electrical-panel or enclosure job where customer spec, pricing, or material assumptions needed validation before commitment.</t>
        </is>
      </c>
      <c r="I131" s="190" t="inlineStr">
        <is>
          <t>2026-05-04</t>
        </is>
      </c>
      <c r="J131" s="190" t="inlineStr">
        <is>
          <t>Waiting</t>
        </is>
      </c>
      <c r="K131" s="190" t="inlineStr">
        <is>
          <t>Channel: ecebhopal@hotmail.com | 0755-4252977 | Ashwani 9303131161 | Seema 9425008531 | Contact: Ashwani Bansal; Mrs. Seema Bansal | Enterprising Consulting Engineers, Govindpura | Source: Identify Business Owners &gt;2Cr | Decision_Gap: Sheet-metal and electrical-panel work turns small judgment gaps into margin, rework, and delivery risk after the job is accepted. | GIA directory lists GST, named contacts, public email/phone, and electrical panels/enclosures/sheet-metal product focus. Keep behind current Tier A owner execution. | [2026-05-03 Sunday planning rule] Sunday is planning-only; moved execution due action to 2026-05-04.</t>
        </is>
      </c>
    </row>
    <row r="132">
      <c r="A132" s="190" t="inlineStr">
        <is>
          <t>SCR-BO-030</t>
        </is>
      </c>
      <c r="B132" s="190" t="inlineStr">
        <is>
          <t>Shiji Chacko</t>
        </is>
      </c>
      <c r="C132" s="190" t="inlineStr">
        <is>
          <t>M G M Industries</t>
        </is>
      </c>
      <c r="D132" s="190" t="inlineStr">
        <is>
          <t>Business</t>
        </is>
      </c>
      <c r="E132" s="190" t="inlineStr">
        <is>
          <t>B</t>
        </is>
      </c>
      <c r="F132" s="190" t="inlineStr">
        <is>
          <t>New</t>
        </is>
      </c>
      <c r="G132" s="190" t="inlineStr"/>
      <c r="H132" s="190" t="inlineStr">
        <is>
          <t>Queue after active Tier A owner list. Validate scale first, then use the precision-components angle: which customer/tooling decision recently looked routine but carried avoidable risk?</t>
        </is>
      </c>
      <c r="I132" s="190" t="inlineStr">
        <is>
          <t>2026-05-04</t>
        </is>
      </c>
      <c r="J132" s="190" t="inlineStr">
        <is>
          <t>Waiting</t>
        </is>
      </c>
      <c r="K132" s="190" t="inlineStr">
        <is>
          <t>Channel: mgm_industries@rediffmail.com | mgm3330@gmail.com | 0755-2683506 | 0755-4260139 | Shiji 9893045671 / 9893153330 | Contact: P. Chacko; Shiji Chacko | M G M Industries, Govindpura | Source: Identify Business Owners &gt;2Cr | Decision_Gap: Precision-component and fabrication businesses repeat quote, tooling, delivery, and customer-risk decisions where better validation can prevent margin loss. | GIA directory lists emails, phones, named contacts, and jigs/fixtures/precision-components/fabrication focus; Justdial shows 31-year business, 26-50 employees, and 1-5 Cr turnover band. Tier B until &gt;2Cr/intent is confirmed directly. | [2026-05-03 Sunday planning rule] Sunday is planning-only; moved execution due action to 2026-05-04.</t>
        </is>
      </c>
    </row>
    <row r="133">
      <c r="A133" s="190" t="inlineStr">
        <is>
          <t>SCR-BO-031</t>
        </is>
      </c>
      <c r="B133" s="190" t="inlineStr">
        <is>
          <t>Kishore Gupta</t>
        </is>
      </c>
      <c r="C133" s="190" t="inlineStr">
        <is>
          <t>Star Delta Transformers Ltd</t>
        </is>
      </c>
      <c r="D133" s="190" t="inlineStr">
        <is>
          <t>Business</t>
        </is>
      </c>
      <c r="E133" s="190" t="inlineStr">
        <is>
          <t>A</t>
        </is>
      </c>
      <c r="F133" s="190" t="inlineStr">
        <is>
          <t>Contacted</t>
        </is>
      </c>
      <c r="G133" s="190" t="inlineStr">
        <is>
          <t>2026-05-02</t>
        </is>
      </c>
      <c r="H133" s="190" t="inlineStr">
        <is>
          <t>Follow-up 1: reopen with the decision-validation question around capex, procurement, customer-credit, or production risk before money moves.</t>
        </is>
      </c>
      <c r="I133" s="190" t="inlineStr">
        <is>
          <t>2026-05-04</t>
        </is>
      </c>
      <c r="J133" s="190" t="inlineStr">
        <is>
          <t>Active</t>
        </is>
      </c>
      <c r="K133" s="190" t="inlineStr">
        <is>
          <t>Channel: star.delta@rediffmail.com | CS: cs.sdtl77@gmail.com | Support: sdtl.bhopal@gmail.com, info@stardeltatransformers.com | Phones: 0755-2586680, 2587343, 4261016, 4261003 | Contact: Kishore Gupta, Chairman and Managing Director. Sources: 2025 BSE filing and Moneycontrol. Decision_Gap: listed manufacturing route should focus on validation before transformer orders, procurement, receivables, and capex commitments. | [2026-05-03 main-chat sync] May 4 priority follow-up synced to Notion; sheet remains source of truth.</t>
        </is>
      </c>
      <c r="L133" t="inlineStr">
        <is>
          <t>Messaging Test Batch 1; Follow-up 1; Verified Public Route; Tier A First Wave; Listed Company; Overnight 2026-05-03; Priority Follow-up Sync</t>
        </is>
      </c>
    </row>
    <row r="134">
      <c r="A134" s="190" t="inlineStr">
        <is>
          <t>SCR-BO-032</t>
        </is>
      </c>
      <c r="B134" s="190" t="inlineStr">
        <is>
          <t>Vijay Bora</t>
        </is>
      </c>
      <c r="C134" s="190" t="inlineStr">
        <is>
          <t>Bora Brothers Industries</t>
        </is>
      </c>
      <c r="D134" s="190" t="inlineStr">
        <is>
          <t>Business</t>
        </is>
      </c>
      <c r="E134" s="190" t="inlineStr">
        <is>
          <t>A</t>
        </is>
      </c>
      <c r="F134" s="190" t="inlineStr">
        <is>
          <t>New</t>
        </is>
      </c>
      <c r="G134" s="190" t="inlineStr"/>
      <c r="H134" s="190" t="inlineStr">
        <is>
          <t>After first-wave follow-ups are logged, send Vijay Bora a CEO/proprietor note on transformer-tank, power-plant fabrication, material-lock, and delivery-risk decisions; use vijay_bora@hotmail.com first, then one call path if no reply.</t>
        </is>
      </c>
      <c r="I134" s="190" t="inlineStr">
        <is>
          <t>2026-05-04</t>
        </is>
      </c>
      <c r="J134" s="190" t="inlineStr">
        <is>
          <t>Active</t>
        </is>
      </c>
      <c r="K134" s="190" t="inlineStr">
        <is>
          <t>Channel: vijay_bora@hotmail.com | +91-755-2586112 | +91-755-2586378 | +91-9425300378 | Contact: Mr. Vijay Bora | CEO / Proprietor | Bora Brothers Industries, Govindpura | Source: Identify Business Owners &gt;2Cr | Decision_Gap: Large fabrication owners can lose margin through decisions that seem operational at approval time: material, credit, spec, delivery, and customer-risk assumptions. | Verified public SME profile: 1971 establishment, 105,000 sq.ft. premises, 80-90 employees, GIA membership, direct CEO email/phone. Tier A industrial owner route. | [2026-05-02 overnight hygiene] Keep Vijay Bora queued as Tier A industrial owner/CEO route; use one direct email and one phone follow-up, not generic company blasting. | [2026-05-03 overnight priority enrichment v2] SME public profile reconfirms Bora Brothers Industries email vijay_bora@hotmail.com and Govindpura fabrication profile. No stronger public direct email found; improve execution by keeping one owner email plus one phone path, not extra scraping.</t>
        </is>
      </c>
      <c r="L134" t="inlineStr">
        <is>
          <t>Verified Public Route; Second Batch Owner Route</t>
        </is>
      </c>
    </row>
    <row r="135">
      <c r="A135" s="190" t="inlineStr">
        <is>
          <t>SCR-BO-033</t>
        </is>
      </c>
      <c r="B135" s="190" t="inlineStr">
        <is>
          <t>Dr. R.S. Goswami</t>
        </is>
      </c>
      <c r="C135" s="190" t="inlineStr">
        <is>
          <t>Hind Pharma</t>
        </is>
      </c>
      <c r="D135" s="190" t="inlineStr">
        <is>
          <t>Business</t>
        </is>
      </c>
      <c r="E135" s="190" t="inlineStr">
        <is>
          <t>A</t>
        </is>
      </c>
      <c r="F135" s="190" t="inlineStr">
        <is>
          <t>New</t>
        </is>
      </c>
      <c r="G135" s="190" t="inlineStr"/>
      <c r="H135" s="190" t="inlineStr">
        <is>
          <t>After first-wave follow-ups are logged, send Dr. R.S. Goswami a founder/CEO note on export, compliance, formulation, institutional-supply, and distributor decisions; use contact@hindpharmaindia.com first and sales@hindpharma.com for sales-routing support.</t>
        </is>
      </c>
      <c r="I135" s="190" t="inlineStr">
        <is>
          <t>2026-05-04</t>
        </is>
      </c>
      <c r="J135" s="190" t="inlineStr">
        <is>
          <t>Active</t>
        </is>
      </c>
      <c r="K135" s="190" t="inlineStr">
        <is>
          <t>Channel: contact@hindpharmaindia.com | sales@hindpharma.com | +91-9303696517 | +91-7566502003 | customer care +91-6262085050 | Contact: Dr. R.S. Goswami | Founder &amp; CEO / Chairman | Hind Pharma, Govindpura | Source: Identify Business Owners &gt;2Cr | Decision_Gap: Pharma founders make high-trust regulatory, export, formulation, distributor, and capacity decisions where confidence cannot substitute for pre-action validation. | Verified official Hind Pharma profile: founder/CEO, 1977 manufacturer, exports to 65+ countries, public contact emails/phones. Third-party profile supports 10-25 Cr turnover band; keep Tier A. | [2026-05-02 overnight hygiene] Keep Hind Pharma founder/CEO route queued; decision-gap opener should be export/compliance/distributor decisions, not product pitch. | [2026-05-03 overnight priority enrichment v2] Official Hind Pharma page/search result reconfirms Dr. R.S. Goswami as Founder &amp; CEO, Aayush Goswami as COO, Akanksha Goswami as Procurement Manager, contact@hindpharmaindia.com, sales@hindpharma.com, +91-9303696517, +91-7566502003, customer care +91-6262085050, 1977 founding, and 65+ countries export signal. Keep as Tier A founder/manufacturer route.</t>
        </is>
      </c>
      <c r="L135" t="inlineStr">
        <is>
          <t>Verified Public Route; Second Batch Owner Route</t>
        </is>
      </c>
    </row>
    <row r="136">
      <c r="A136" s="190" t="inlineStr">
        <is>
          <t>SCR-BO-034</t>
        </is>
      </c>
      <c r="B136" s="190" t="inlineStr">
        <is>
          <t>Jaideep Jain</t>
        </is>
      </c>
      <c r="C136" s="190" t="inlineStr">
        <is>
          <t>Tesla Transformers</t>
        </is>
      </c>
      <c r="D136" s="190" t="inlineStr">
        <is>
          <t>Business</t>
        </is>
      </c>
      <c r="E136" s="190" t="inlineStr">
        <is>
          <t>A</t>
        </is>
      </c>
      <c r="F136" s="190" t="inlineStr">
        <is>
          <t>New</t>
        </is>
      </c>
      <c r="G136" s="190" t="inlineStr"/>
      <c r="H136" s="190" t="inlineStr">
        <is>
          <t>After first-wave owner follow-ups are logged, send Jaideep Jain/Tesla route via tesla@teslaindia.co. If no reply, use mktg@teslatransformers.com, sales@teslatransformersglobal.com, or jitendra@teslaindia.co only as support-routing paths; do not chase masked lead-database contacts.</t>
        </is>
      </c>
      <c r="I136" s="190" t="inlineStr">
        <is>
          <t>2026-05-04</t>
        </is>
      </c>
      <c r="J136" s="190" t="inlineStr">
        <is>
          <t>Active</t>
        </is>
      </c>
      <c r="K136" s="190" t="inlineStr">
        <is>
          <t>Channel: tesla@teslaindia.co | mktg@teslatransformers.com | sales@teslatransformersglobal.com | +91-755-4271974 | +91-755-2586778 | Jaideep route 9893055810 | Contact: Mr. Jaideep Jain | Chairman &amp; Managing Director / promoter | Tesla Transformers group, Govindpura | Source: Identify Business Owners &gt;2Cr | Decision_Gap: Transformer manufacturers face large project, spec, vendor, credit, and delivery decisions where the logic can look technically sound while commercial assumptions remain unvalidated. | Verified official Tesla Power/Tesla Transformers pages and GIA product-wise listing: Jaideep Jain leadership route, Govindpura transformer manufacturing, public emails/phones. Tier A because named promoter/CMD and industrial value are public. | [2026-05-02 night] Tesla refresh: official contact page lists tesla@teslaindia.co, jitendra@teslaindia.co, Jitendra Singh 9755557703, Vipin Singhai 7471128044, MP route Yasir Farooque 7024120460/yasir@teslaindia.co; CompanyDetails lists jaideep@teslaindia.co; IEEMA member directory lists Jaideep Jain as Director - M&amp;P and turnover Rs 170.92Cr FY2021-22. Decision-gap angle: transformer-project, procurement, customer-spec, and regional expansion calls carry validation risk before capital is locked. | [2026-05-03 overnight execution-cleanliness pass] Official Tesla site reconfirmed Jaideep Jain as Managing Director with +91-755-4271974 and tesla@teslaindia.co; public catalog route supports jitendra@teslaindia.co as support only. Keep direct official route first.</t>
        </is>
      </c>
      <c r="L136" t="inlineStr">
        <is>
          <t>Public Contact Verified</t>
        </is>
      </c>
    </row>
    <row r="137">
      <c r="A137" s="190" t="inlineStr">
        <is>
          <t>SCR-CA-035</t>
        </is>
      </c>
      <c r="B137" s="190" t="inlineStr">
        <is>
          <t>Vikas Golchha</t>
        </is>
      </c>
      <c r="C137" s="190" t="inlineStr">
        <is>
          <t>Raipur Branch of CIRC of ICAI</t>
        </is>
      </c>
      <c r="D137" s="190" t="inlineStr">
        <is>
          <t>CA</t>
        </is>
      </c>
      <c r="E137" s="190" t="inlineStr">
        <is>
          <t>B</t>
        </is>
      </c>
      <c r="F137" s="190" t="inlineStr">
        <is>
          <t>New</t>
        </is>
      </c>
      <c r="G137" s="190" t="inlineStr"/>
      <c r="H137" s="190" t="inlineStr">
        <is>
          <t>Keep Raipur queued until Bhopal/Indore follow-ups and one routing escalation are logged. If expansion is approved, start with Vikas Golchha, then Ravi Jain, and ask who owns member programming around client decisions made before validation.</t>
        </is>
      </c>
      <c r="I137" s="190" t="inlineStr">
        <is>
          <t>2026-05-04</t>
        </is>
      </c>
      <c r="J137" s="190" t="inlineStr">
        <is>
          <t>Waiting</t>
        </is>
      </c>
      <c r="K137" s="190" t="inlineStr">
        <is>
          <t>Channel: vikasgolchha2021@gmail.com | ca.ravigidiya@gmail.com | raipur@icai.org | Chairman 9827977252 / 8770493390 | Secretary 9584750020 | Branch 0771-4030937 | Contact: CA Vikas Golchha, Chairman; CA Ravi Jain, Secretary; Mrs Sonali Mishra, branch staff. CIRC Raipur 2025-26 PDF verifies this route. Decision_Gap: test whether larger branches see the same client pattern: information and confidence existed, but the decision was never validated before money moved. Keep Tier B until MP first-wave outcomes are logged.</t>
        </is>
      </c>
      <c r="L137" t="inlineStr">
        <is>
          <t>Queued Expansion; Verified Public Route; Large Branch; CA Second Wave</t>
        </is>
      </c>
    </row>
    <row r="138">
      <c r="A138" s="190" t="inlineStr">
        <is>
          <t>SCR-CA-036</t>
        </is>
      </c>
      <c r="B138" s="190" t="inlineStr">
        <is>
          <t>Vikas Yadav</t>
        </is>
      </c>
      <c r="C138" s="190" t="inlineStr">
        <is>
          <t>Jaipur Branch of CIRC of ICAI</t>
        </is>
      </c>
      <c r="D138" s="190" t="inlineStr">
        <is>
          <t>CA</t>
        </is>
      </c>
      <c r="E138" s="190" t="inlineStr">
        <is>
          <t>B</t>
        </is>
      </c>
      <c r="F138" s="190" t="inlineStr">
        <is>
          <t>New</t>
        </is>
      </c>
      <c r="G138" s="190" t="inlineStr"/>
      <c r="H138" s="190" t="inlineStr">
        <is>
          <t>Keep Jaipur queued until first-wave CA touches are logged. If expanded, use Vikas Yadav first, Yash Gupta second, and ask who owns member programming around client decisions that looked confident but were not validated.</t>
        </is>
      </c>
      <c r="I138" s="190" t="inlineStr">
        <is>
          <t>2026-05-04</t>
        </is>
      </c>
      <c r="J138" s="190" t="inlineStr">
        <is>
          <t>Waiting</t>
        </is>
      </c>
      <c r="K138" s="190" t="inlineStr">
        <is>
          <t>Channel: cavikasyadav1995@gmail.com | cayash_gupta@hotmail.com | jaipur@icai.org | Chairman 9166332244 | Secretary 9602346888 / 7689922222 | Branch 0141-3044200 | Staff 9672023888 | Contact: CA Vikas Yadav, Chairman; CA Yash Gupta, Secretary; Vishal Gupta, branch staff. CIRC Jaipur 2025-26 PDF verifies this route. Decision_Gap: Jaipur is a scale branch; use it only after the MP wording is proven, not as a generic finance-education pitch.</t>
        </is>
      </c>
      <c r="L138" t="inlineStr">
        <is>
          <t>Queued Expansion; Verified Public Route; Large Branch; CA Second Wave</t>
        </is>
      </c>
    </row>
    <row r="139">
      <c r="A139" s="190" t="inlineStr">
        <is>
          <t>SCR-BO-035</t>
        </is>
      </c>
      <c r="B139" s="190" t="inlineStr">
        <is>
          <t>Vinod Sapre</t>
        </is>
      </c>
      <c r="C139" s="190" t="inlineStr">
        <is>
          <t>Righill Electrics Pvt. Ltd.</t>
        </is>
      </c>
      <c r="D139" s="190" t="inlineStr">
        <is>
          <t>Business</t>
        </is>
      </c>
      <c r="E139" s="190" t="inlineStr">
        <is>
          <t>A</t>
        </is>
      </c>
      <c r="F139" s="190" t="inlineStr">
        <is>
          <t>Contacted</t>
        </is>
      </c>
      <c r="G139" s="190" t="inlineStr">
        <is>
          <t>2026-05-02</t>
        </is>
      </c>
      <c r="H139" s="190" t="inlineStr">
        <is>
          <t>Follow-up 1: reopen with the decision-validation question around industrial control, vendor, customer, or capacity assumptions before money moves.</t>
        </is>
      </c>
      <c r="I139" s="190" t="inlineStr">
        <is>
          <t>2026-05-04</t>
        </is>
      </c>
      <c r="J139" s="190" t="inlineStr">
        <is>
          <t>Active</t>
        </is>
      </c>
      <c r="K139" s="190" t="inlineStr">
        <is>
          <t>Channel: righillelectrics@righill.com | Phones: 0755-2584170, 0755-2584202 | Contact: Vinod Sapre, director. Sources: Righill official contact page, CorporateDir director listing, EEPC catalogue email route. Decision_Gap: automation/project businesses carry quote, component, delivery, and receivable decisions where late discovery is expensive. | [2026-05-03 main-chat sync] May 4 priority follow-up synced to Notion; sheet remains source of truth.</t>
        </is>
      </c>
      <c r="L139" t="inlineStr">
        <is>
          <t>Messaging Test Batch 1; Follow-up 1; Verified Public Route; Tier A First Wave; Project Owner; Overnight 2026-05-03; Priority Follow-up Sync</t>
        </is>
      </c>
    </row>
    <row r="140">
      <c r="A140" s="190" t="inlineStr">
        <is>
          <t>SCR-BO-036</t>
        </is>
      </c>
      <c r="B140" s="190" t="inlineStr">
        <is>
          <t>Sameer Gangrade</t>
        </is>
      </c>
      <c r="C140" s="190" t="inlineStr">
        <is>
          <t>Sameer Engineering Industries</t>
        </is>
      </c>
      <c r="D140" s="190" t="inlineStr">
        <is>
          <t>Business</t>
        </is>
      </c>
      <c r="E140" s="190" t="inlineStr">
        <is>
          <t>B</t>
        </is>
      </c>
      <c r="F140" s="190" t="inlineStr">
        <is>
          <t>New</t>
        </is>
      </c>
      <c r="G140" s="190" t="inlineStr"/>
      <c r="H140" s="190" t="inlineStr">
        <is>
          <t>Queue behind logged Tier A owner sends. First touch should validate scale through Sameer/office route, then ask which moulding, sheet-metal, or customer-order decision recently looked routine but carried margin risk.</t>
        </is>
      </c>
      <c r="I140" s="190" t="inlineStr">
        <is>
          <t>2026-05-04</t>
        </is>
      </c>
      <c r="J140" s="190" t="inlineStr">
        <is>
          <t>Waiting</t>
        </is>
      </c>
      <c r="K140" s="190" t="inlineStr">
        <is>
          <t>Channel: sameerenggind@rediffmail.com | 0755-4261182 | 0755-2581593 | Sameer 9425374610 | Contact: Sameer Gangrade | Sameer Engineering Industries, Govindpura | Emails sameerenggind@rediffmail.com; samcabls@gmail.com | Office 0755-4261182 / 0755-2581593 | Source: Identify Business Owners &gt;2Cr | Decision_Gap: Moulded-items manufacturing creates repeat quote, tooling, material, and customer-commitment decisions where small assumption errors become margin loss. | GIA directory and official Sameer Engineering site verify public email/office phone routes and control-equipment/product focus. Keep Tier B until &gt;2Cr scale or active intent is confirmed; no generic inbox blast. | [2026-05-03 Sunday planning rule] Sunday is planning-only; moved execution due action to 2026-05-04.</t>
        </is>
      </c>
    </row>
    <row r="141">
      <c r="A141" s="190" t="inlineStr">
        <is>
          <t>SCR-BO-037</t>
        </is>
      </c>
      <c r="B141" s="190" t="inlineStr">
        <is>
          <t>Faiz Khan</t>
        </is>
      </c>
      <c r="C141" s="190" t="inlineStr">
        <is>
          <t>Evergreen Industries</t>
        </is>
      </c>
      <c r="D141" s="190" t="inlineStr">
        <is>
          <t>Business</t>
        </is>
      </c>
      <c r="E141" s="190" t="inlineStr">
        <is>
          <t>B</t>
        </is>
      </c>
      <c r="F141" s="190" t="inlineStr">
        <is>
          <t>New</t>
        </is>
      </c>
      <c r="G141" s="190" t="inlineStr"/>
      <c r="H141" s="190" t="inlineStr">
        <is>
          <t>Queue after Tier A industrial sends. Use official-site proof of BHEL/government supply exposure, then ask about the last casting, machining, or transformer-component decision that needed validation before commitment.</t>
        </is>
      </c>
      <c r="I141" s="190" t="inlineStr">
        <is>
          <t>2026-05-04</t>
        </is>
      </c>
      <c r="J141" s="190" t="inlineStr">
        <is>
          <t>Waiting</t>
        </is>
      </c>
      <c r="K141" s="190" t="inlineStr">
        <is>
          <t>Channel: evergreenindustries1972@yahoo.com | 0755-4222846 | Mobile 8962535979 / 9826635880 | GIA: Mohd Zafar 0755-2761371 | Contact: Mohd Zafar; Faiz Khan | Evergreen Industries, Govindpura | Source: Identify Business Owners &gt;2Cr | Decision_Gap: Casting and fabrication suppliers make material, client, quality, and delivery commitments where decision validation can protect margin and reputation. | Official Evergreen site verifies ISO 9001:2015, BHEL supplier code, government/semi-government customers, email, office, and mobile contacts. GIA verifies named contacts. Tier B until revenue scale is confirmed. | [2026-05-03 Sunday planning rule] Sunday is planning-only; moved execution due action to 2026-05-04.</t>
        </is>
      </c>
    </row>
    <row r="142">
      <c r="A142" s="190" t="inlineStr">
        <is>
          <t>SCR-BO-038</t>
        </is>
      </c>
      <c r="B142" s="190" t="inlineStr">
        <is>
          <t>Habib Hussain</t>
        </is>
      </c>
      <c r="C142" s="190" t="inlineStr">
        <is>
          <t>Crown Industries</t>
        </is>
      </c>
      <c r="D142" s="190" t="inlineStr">
        <is>
          <t>Business</t>
        </is>
      </c>
      <c r="E142" s="190" t="inlineStr">
        <is>
          <t>B</t>
        </is>
      </c>
      <c r="F142" s="190" t="inlineStr">
        <is>
          <t>New</t>
        </is>
      </c>
      <c r="G142" s="190" t="inlineStr"/>
      <c r="H142" s="190" t="inlineStr">
        <is>
          <t>Queue after active Tier A owner list. Call/email to validate owner route, then open on the last machining or fabrication job where price, material, or customer assumptions should have been stress-tested first.</t>
        </is>
      </c>
      <c r="I142" s="190" t="inlineStr">
        <is>
          <t>2026-05-04</t>
        </is>
      </c>
      <c r="J142" s="190" t="inlineStr">
        <is>
          <t>Waiting</t>
        </is>
      </c>
      <c r="K142" s="190" t="inlineStr">
        <is>
          <t>Channel: industriescrown@ymail.com | 0755-4045447 | 7773082777 | Habib 0755-4252092 / 9752777746 | Contact: Habib Hussain | Crown Industries, Govindpura | Source: Identify Business Owners &gt;2Cr | Decision_Gap: Machining and fabrication businesses often accept jobs before validating customer-risk, material, and margin assumptions; Fnomo should surface that pre-commitment gap. | GIA directory verifies public email, phones, named contact, GSTN, member status, and machining/fabrication focus. Keep Tier B until scale is confirmed. | [2026-05-03 Sunday planning rule] Sunday is planning-only; moved execution due action to 2026-05-04.</t>
        </is>
      </c>
    </row>
    <row r="143">
      <c r="A143" s="190" t="inlineStr">
        <is>
          <t>SCR-BO-039</t>
        </is>
      </c>
      <c r="B143" s="190" t="inlineStr">
        <is>
          <t>B.D. Sharma</t>
        </is>
      </c>
      <c r="C143" s="190" t="inlineStr">
        <is>
          <t>Dawn Engineers</t>
        </is>
      </c>
      <c r="D143" s="190" t="inlineStr">
        <is>
          <t>Business</t>
        </is>
      </c>
      <c r="E143" s="190" t="inlineStr">
        <is>
          <t>B</t>
        </is>
      </c>
      <c r="F143" s="190" t="inlineStr">
        <is>
          <t>New</t>
        </is>
      </c>
      <c r="G143" s="190" t="inlineStr"/>
      <c r="H143" s="190" t="inlineStr">
        <is>
          <t>Queue after stronger Tier A owner sends. If contacted, ask about tractor-parts and automotive-component decisions where the cost of a wrong commitment appears only after production begins.</t>
        </is>
      </c>
      <c r="I143" s="190" t="inlineStr">
        <is>
          <t>2026-05-04</t>
        </is>
      </c>
      <c r="J143" s="190" t="inlineStr">
        <is>
          <t>Waiting</t>
        </is>
      </c>
      <c r="K143" s="190" t="inlineStr">
        <is>
          <t>Channel: dawnengineersbpl@yahoo.co.in | 0755-4274848 | B.D. 9872001990 | R.K. 9893039433 | Contact: B.D. Sharma; R.K. Sharma | Dawn Engineers, Govindpura | Source: Identify Business Owners &gt;2Cr | Decision_Gap: Auto/tractor component manufacturers make production, inventory, customer, and quality decisions where validation before action can prevent avoidable rework and cash drag. | GIA directory verifies website, email, phone, named contacts, member status, and tractor-parts product focus; TradeIndia separately identifies Sharma as proprietor. Tier B until scale/intent is confirmed. | [2026-05-03 Sunday planning rule] Sunday is planning-only; moved execution due action to 2026-05-04.</t>
        </is>
      </c>
    </row>
    <row r="144">
      <c r="A144" s="190" t="inlineStr">
        <is>
          <t>SCR-BO-040</t>
        </is>
      </c>
      <c r="B144" s="190" t="inlineStr">
        <is>
          <t>Sanjay Khanna</t>
        </is>
      </c>
      <c r="C144" s="190" t="inlineStr">
        <is>
          <t>S M Motors</t>
        </is>
      </c>
      <c r="D144" s="190" t="inlineStr">
        <is>
          <t>Business</t>
        </is>
      </c>
      <c r="E144" s="190" t="inlineStr">
        <is>
          <t>B</t>
        </is>
      </c>
      <c r="F144" s="190" t="inlineStr">
        <is>
          <t>New</t>
        </is>
      </c>
      <c r="G144" s="190" t="inlineStr"/>
      <c r="H144" s="190" t="inlineStr">
        <is>
          <t>Queue as retail/automobile owner route after industrial Tier A contacts. Use service-center purchase and customer-trust decisions as the hook; verify scale before promotion.</t>
        </is>
      </c>
      <c r="I144" s="190" t="inlineStr">
        <is>
          <t>2026-05-04</t>
        </is>
      </c>
      <c r="J144" s="190" t="inlineStr">
        <is>
          <t>Waiting</t>
        </is>
      </c>
      <c r="K144" s="190" t="inlineStr">
        <is>
          <t>Channel: sanjay@smmotors.in | kavita@smmotors.in | Sanjay 9893690701 | Kavita 9893690700 | Contact: Sanjay Khanna; Kavita Khanna | S M Motors, Govindpura | Source: Identify Business Owners &gt;2Cr | Decision_Gap: Automobile service owners sit near customer spend, repair, inventory, and vendor decisions where confidence can move faster than validation. | GIA directory verifies public emails and named owner contacts for S M Motors automobile workshop. Keep Tier B because scale is not yet verified. | [2026-05-03 Sunday planning rule] Sunday is planning-only; moved execution due action to 2026-05-04.</t>
        </is>
      </c>
    </row>
    <row r="145">
      <c r="A145" s="190" t="inlineStr">
        <is>
          <t>SCR-CA-037</t>
        </is>
      </c>
      <c r="B145" s="190" t="inlineStr">
        <is>
          <t>Ankur Goyal</t>
        </is>
      </c>
      <c r="C145" s="190" t="inlineStr">
        <is>
          <t>CIRC Chairman</t>
        </is>
      </c>
      <c r="D145" s="190" t="inlineStr">
        <is>
          <t>CA</t>
        </is>
      </c>
      <c r="E145" s="190" t="inlineStr">
        <is>
          <t>B</t>
        </is>
      </c>
      <c r="F145" s="190" t="inlineStr">
        <is>
          <t>New</t>
        </is>
      </c>
      <c r="G145" s="190" t="inlineStr"/>
      <c r="H145" s="190" t="inlineStr">
        <is>
          <t>Use only after Bhopal/Indore chair-secretary touches are logged or if CIRC-level escalation is needed. Ask whether regional programming should address client money decisions that were informed but never independently validated.</t>
        </is>
      </c>
      <c r="I145" s="190" t="inlineStr">
        <is>
          <t>2026-05-04</t>
        </is>
      </c>
      <c r="J145" s="190" t="inlineStr">
        <is>
          <t>Waiting</t>
        </is>
      </c>
      <c r="K145" s="190" t="inlineStr">
        <is>
          <t>Channel: ragsankur3@gmail.com | 9889233731 | Contact: CA Goyal Ankur | Chairman, CIRC | Mobile 9889233731 | Email ragsankur3@gmail.com | Lucknow office address public on CIRC regional council page | Source: Contact CA Associations | Decision_Gap: Regional chairman can legitimize the decision-validation frame across branches, but outreach should not bypass local trust unless first-wave branch routing stalls. | Official CIRC regional council page verifies chairman role, mobile, email, and office address. Keep behind Bhopal/Indore first-wave execution; do not bypass local trust unless routing stalls. | [2026-05-03 Sunday planning rule] Sunday is planning-only; moved execution due action to 2026-05-04.</t>
        </is>
      </c>
    </row>
    <row r="146">
      <c r="A146" s="190" t="inlineStr">
        <is>
          <t>SCR-CA-038</t>
        </is>
      </c>
      <c r="B146" s="190" t="inlineStr">
        <is>
          <t>Ankush Jain</t>
        </is>
      </c>
      <c r="C146" s="190" t="inlineStr">
        <is>
          <t>CIRC Vice Chairman</t>
        </is>
      </c>
      <c r="D146" s="190" t="inlineStr">
        <is>
          <t>CA</t>
        </is>
      </c>
      <c r="E146" s="190" t="inlineStr">
        <is>
          <t>B</t>
        </is>
      </c>
      <c r="F146" s="190" t="inlineStr">
        <is>
          <t>New</t>
        </is>
      </c>
      <c r="G146" s="190" t="inlineStr"/>
      <c r="H146" s="190" t="inlineStr">
        <is>
          <t>Hold as Indore-region escalation route after Rajat/Milind touches. Ask who owns branch/member programming for validating client decisions before capital is committed.</t>
        </is>
      </c>
      <c r="I146" s="190" t="inlineStr">
        <is>
          <t>2026-05-04</t>
        </is>
      </c>
      <c r="J146" s="190" t="inlineStr">
        <is>
          <t>Waiting</t>
        </is>
      </c>
      <c r="K146" s="190" t="inlineStr">
        <is>
          <t>Channel: caankush41@gmail.com | 8109471070 | Contact: CA Jain Ankush | Vice Chairman, CIRC | Indore | Mobile 8109471070 | Email caankush41@gmail.com | Source: Contact CA Associations | Decision_Gap: Vice-chair route is useful only when local branch contacts need a regional sponsor; the message must stay about decision quality, not education. | Official CIRC regional council page verifies vice-chairman role, Indore office address, mobile, and email. Use only as support route behind local branch leadership. | [2026-05-03 Sunday planning rule] Sunday is planning-only; moved execution due action to 2026-05-04.</t>
        </is>
      </c>
    </row>
    <row r="147">
      <c r="A147" s="190" t="inlineStr">
        <is>
          <t>SCR-CA-039</t>
        </is>
      </c>
      <c r="B147" s="190" t="inlineStr">
        <is>
          <t>Nirbhik Gandhi</t>
        </is>
      </c>
      <c r="C147" s="190" t="inlineStr">
        <is>
          <t>CIRC Secretary</t>
        </is>
      </c>
      <c r="D147" s="190" t="inlineStr">
        <is>
          <t>CA</t>
        </is>
      </c>
      <c r="E147" s="190" t="inlineStr">
        <is>
          <t>B</t>
        </is>
      </c>
      <c r="F147" s="190" t="inlineStr">
        <is>
          <t>New</t>
        </is>
      </c>
      <c r="G147" s="190" t="inlineStr"/>
      <c r="H147" s="190" t="inlineStr">
        <is>
          <t>Hold as regional secretary route if local branch ownership is unclear after first-wave sends. Ask for the right programming owner for a short decision-validation member conversation.</t>
        </is>
      </c>
      <c r="I147" s="190" t="inlineStr">
        <is>
          <t>2026-05-04</t>
        </is>
      </c>
      <c r="J147" s="190" t="inlineStr">
        <is>
          <t>Waiting</t>
        </is>
      </c>
      <c r="K147" s="190" t="inlineStr">
        <is>
          <t>Channel: canirbhik@gmail.com | 9785084747 | Contact: CA Gandhi Nirbhik | Secretary, CIRC | Mobile 9785084747 | Email canirbhik@gmail.com | Bhilwara office address public on CIRC regional council page | Source: Contact CA Associations | Decision_Gap: Regional secretary can route operational ownership, but should be approached only after local chair/secretary attempts are logged. | Official CIRC regional council page verifies secretary role, mobile, email, and office address. Best use is operational routing after local branch attempts are logged. | [2026-05-03 Sunday planning rule] Sunday is planning-only; moved execution due action to 2026-05-04.</t>
        </is>
      </c>
    </row>
    <row r="148">
      <c r="A148" s="190" t="inlineStr">
        <is>
          <t>SCR-BO-041</t>
        </is>
      </c>
      <c r="B148" s="190" t="inlineStr">
        <is>
          <t>K.M. Kumar</t>
        </is>
      </c>
      <c r="C148" s="190" t="inlineStr">
        <is>
          <t>Kumaran Industries</t>
        </is>
      </c>
      <c r="D148" s="190" t="inlineStr">
        <is>
          <t>Business</t>
        </is>
      </c>
      <c r="E148" s="190" t="inlineStr">
        <is>
          <t>A</t>
        </is>
      </c>
      <c r="F148" s="190" t="inlineStr">
        <is>
          <t>Contacted</t>
        </is>
      </c>
      <c r="G148" s="190" t="inlineStr">
        <is>
          <t>2026-05-02</t>
        </is>
      </c>
      <c r="H148" s="190" t="inlineStr">
        <is>
          <t>Follow-up 1: reopen with the decision-validation question around quote, spec, vendor, delivery, or capital commitment risk before money moves.</t>
        </is>
      </c>
      <c r="I148" s="190" t="inlineStr">
        <is>
          <t>2026-05-04</t>
        </is>
      </c>
      <c r="J148" s="190" t="inlineStr">
        <is>
          <t>Active</t>
        </is>
      </c>
      <c r="K148" s="190" t="inlineStr">
        <is>
          <t>Channel: sales@kumaranindustries.com | Phone: 0755-4261969 / 9820091918 | Contact: Anil Pandey directory route and Hemakar Shetty public profile route; K.M. Kumar retained from workbook. Sources: Indian Industries Directory and ProvenExpert public profile. Decision_Gap: fabrication, railways, fan, and heat-exchanger commitments convert assumptions into cost quickly, so validate before quote or production action. | [2026-05-03 overnight route cleanup] Public Kumaran/Kohmer contact page verifies hemakars@kumaranindustries.com alongside sales@kumaranindustries.com, phone +91-755-4261969, mobile 9820091918, and 44-A Industrial Area Govindpura address; use Hemakar as support route, not a new lead. | [2026-05-03 main-chat sync] May 4 priority follow-up synced to Notion; sheet remains source of truth.</t>
        </is>
      </c>
      <c r="L148" t="inlineStr">
        <is>
          <t>Messaging Test Batch 1; Follow-up 1; Verified Public Route; Tier A First Wave; Fabrication Owner; Overnight 2026-05-03 | Hemakar Support Route; Priority Follow-up Sync</t>
        </is>
      </c>
    </row>
    <row r="149">
      <c r="A149" s="190" t="inlineStr">
        <is>
          <t>SCR-BO-042</t>
        </is>
      </c>
      <c r="B149" s="190" t="inlineStr">
        <is>
          <t>N.K. Goel</t>
        </is>
      </c>
      <c r="C149" s="190" t="inlineStr">
        <is>
          <t>Kakda Rolling Mills</t>
        </is>
      </c>
      <c r="D149" s="190" t="inlineStr">
        <is>
          <t>Business</t>
        </is>
      </c>
      <c r="E149" s="190" t="inlineStr">
        <is>
          <t>A</t>
        </is>
      </c>
      <c r="F149" s="190" t="inlineStr">
        <is>
          <t>New</t>
        </is>
      </c>
      <c r="G149" s="190" t="inlineStr"/>
      <c r="H149" s="190" t="inlineStr">
        <is>
          <t>Call-first on 2026-05-04: use +91-755-4261284 / 0755-4280911 / Neeraj 9826058625 to verify the correct owner email for N.K./Narendra/Neeraj Goel before any send.</t>
        </is>
      </c>
      <c r="I149" s="190" t="inlineStr">
        <is>
          <t>2026-05-04</t>
        </is>
      </c>
      <c r="J149" s="190" t="inlineStr">
        <is>
          <t>Active</t>
        </is>
      </c>
      <c r="K149" s="190" t="inlineStr">
        <is>
          <t>Channel: +91-755-4261284 | 0755-4280911 | Neeraj Goel 9826058625 | kakdaindustries@gmail.com only after call confirmation | Contact: N.K. Goel / Narendra Goel / Neeraj Goel / Anil Goel / Vishal Goel | Kakda Rolling Mills, Govindpura. Source confidence: IndiaIndustry names N.K. Goel and +91-755-4261284 but shows a non-actionable Kakdarollingmills.com email/homepage fragment; public banking notice names Narendra, Neeraj, Anil, and Vishal Goel as partners; GIA route gives the working phone/email support path. Decision_Gap: steel rolling owners make raw-material, dealer-credit, price-risk, and capacity decisions where validation matters before commitment. Do not mention rating or banking stress in outreach.</t>
        </is>
      </c>
      <c r="L149" t="inlineStr">
        <is>
          <t>Priority Follow-up Sync; Call First; Verified Public Route; Tier A Guardrail; Email Verification Needed</t>
        </is>
      </c>
    </row>
    <row r="150">
      <c r="A150" s="190" t="inlineStr">
        <is>
          <t>SCR-CA-040</t>
        </is>
      </c>
      <c r="B150" s="190" t="inlineStr">
        <is>
          <t>Anurag Pandey</t>
        </is>
      </c>
      <c r="C150" s="190" t="inlineStr">
        <is>
          <t>Lucknow Branch of CIRC of ICAI</t>
        </is>
      </c>
      <c r="D150" s="190" t="inlineStr">
        <is>
          <t>CA</t>
        </is>
      </c>
      <c r="E150" s="190" t="inlineStr">
        <is>
          <t>B</t>
        </is>
      </c>
      <c r="F150" s="190" t="inlineStr">
        <is>
          <t>New</t>
        </is>
      </c>
      <c r="G150" s="190" t="inlineStr"/>
      <c r="H150" s="190" t="inlineStr">
        <is>
          <t>Queue Lucknow as a large-branch expansion only after Bhopal/Indore/CIRC first-wave touches are logged; use 2025-26 chairman Anurag Pandey first, then secretary Rishabh Mishra only for operational routing.</t>
        </is>
      </c>
      <c r="I150" s="190" t="inlineStr">
        <is>
          <t>2026-05-04</t>
        </is>
      </c>
      <c r="J150" s="190" t="inlineStr">
        <is>
          <t>Waiting</t>
        </is>
      </c>
      <c r="K150" s="190" t="inlineStr">
        <is>
          <t>Channel: PCSANDASSOCIATES@GMAIL.COM | ca.rishabhmishra@gmail.com | lucknow@icai.org | Chairman 9415075740 | Secretary 9935459122 | Branch 0522-4069931 | Contact: CA Anurag Pandey | Chairman | Mobile 9415075740 | Email PCSANDASSOCIATES@GMAIL.COM; CA Rishabh Mishra | Secretary | Mobile 9935459122 | Email ca.rishabhmishra@gmail.com; Lucknow Branch | Phone 0522-4069931 | Email lucknow@icai.org | Source: Contact CA Associations | Decision_Gap: A large branch can test whether CAs recognize the repeated client pattern: enough information, strong confidence, but no independent validation before capital moved. | Official CIRC Lucknow Office Bearer PDF 2025-2026 verifies chairman, secretary, direct mobiles/emails, branch phone, branch email, and website. Keep Tier B until MP first-wave CA route is worked. | [2026-05-03 overnight contact-quality pass] CIRC Lucknow 2025-26 office-bearer PDF lists Anurag Pandey as Chairman at PCSANDASSOCIATES@GMAIL.COM/9415075740 and Rishabh Mishra as Secretary at ca.rishabhmishra@gmail.com/9935459122. Older R.L. Bajpai branch-chair-table route should not drive first contact. Source: https://circ.icai.org/wp-content/uploads/2025/03/Lucknow.pdf</t>
        </is>
      </c>
    </row>
    <row r="151" s="80">
      <c r="A151" s="190" t="inlineStr">
        <is>
          <t>SCR-CA-041</t>
        </is>
      </c>
      <c r="B151" s="190" t="inlineStr">
        <is>
          <t>Niraj Kumar Singh</t>
        </is>
      </c>
      <c r="C151" s="190" t="inlineStr">
        <is>
          <t>Varanasi Branch of CIRC of ICAI</t>
        </is>
      </c>
      <c r="D151" s="190" t="inlineStr">
        <is>
          <t>CA</t>
        </is>
      </c>
      <c r="E151" s="190" t="inlineStr">
        <is>
          <t>B</t>
        </is>
      </c>
      <c r="F151" s="190" t="inlineStr">
        <is>
          <t>New</t>
        </is>
      </c>
      <c r="G151" s="190" t="inlineStr"/>
      <c r="H151" s="190" t="inlineStr">
        <is>
          <t>Queue Varanasi as a second large-branch test only after Bhopal/Indore and one regional route are logged; verify current office-bearer ownership via branch inbox before sending because public branch-chair sources conflict.</t>
        </is>
      </c>
      <c r="I151" s="190" t="inlineStr">
        <is>
          <t>2026-05-04</t>
        </is>
      </c>
      <c r="J151" s="190" t="inlineStr">
        <is>
          <t>Waiting</t>
        </is>
      </c>
      <c r="K151" s="190" t="inlineStr">
        <is>
          <t>Channel: singhniraj3037@gmail.com | cavikasdwivedee@gmail.com | varanasi@icai.in | Chairman 9454053317 / 8299256912 | Secretary 9044174249 / 7376551117 | Staff 9919672555 | Branch 0542-2585192 | Contact: CA Niraj Kumar Singh | Chairman | Mobiles 9454053317 / 8299256912 | Email singhniraj3037@gmail.com; CA Vikas Dwivedee | Secretary | Mobiles 9044174249 / 7376551117 | Email cavikasdwivedee@gmail.com; Gyan Prakash Tripathi | Branch staff | Mobile 9919672555; Varanasi Branch | Phone 0542-2585192 | Email varanasi@icai.in | Source: Contact CA Associations | Decision_Gap: Varanasi gives another active CIRC branch route to validate whether client-decision failures resonate beyond MP without turning Fnomo into generic education. | Official CIRC Varanasi Office Bearer PDF 2025-2026 verifies chairman, secretary, staff route, direct emails/mobiles, branch email, branch phone, and website. Keep queued behind Tier A local CA execution. | [2026-05-03 overnight contact-quality pass] CIRC Varanasi 2025-26 office-bearer PDF lists Niraj Kumar Singh as Chairman with singhniraj3037@gmail.com and 9454053317/8299256912; Varanasi branch site separately lists a newer committee with Som Datta Raghu as Chairman and Anil Kumar Agrawal as Vice Chairman, so verify via branch before outreach. Sources: https://circ.icai.org/wp-content/uploads/2025/03/Varanasi.pdf and https://varanasiicai.org/managing-committee/</t>
        </is>
      </c>
    </row>
    <row r="152" s="80">
      <c r="A152" s="190" t="inlineStr">
        <is>
          <t>SCR-DR-001</t>
        </is>
      </c>
      <c r="B152" s="190" t="inlineStr">
        <is>
          <t>Dr. Ajay Goenka</t>
        </is>
      </c>
      <c r="C152" s="190" t="inlineStr">
        <is>
          <t>Chirayu Medical College</t>
        </is>
      </c>
      <c r="D152" s="190" t="inlineStr">
        <is>
          <t>Business</t>
        </is>
      </c>
      <c r="E152" s="190" t="inlineStr">
        <is>
          <t>B</t>
        </is>
      </c>
      <c r="F152" s="190" t="inlineStr">
        <is>
          <t>Contacted</t>
        </is>
      </c>
      <c r="G152" s="190" t="inlineStr">
        <is>
          <t>2026-05-01</t>
        </is>
      </c>
      <c r="H152" s="190" t="inlineStr">
        <is>
          <t>Follow up on the sent outreach and reopen the decision-validation angle with one concrete question tied to their last wrong financial or commercial decision.</t>
        </is>
      </c>
      <c r="I152" s="190" t="inlineStr">
        <is>
          <t>2026-05-04</t>
        </is>
      </c>
      <c r="J152" s="190" t="inlineStr">
        <is>
          <t>Active</t>
        </is>
      </c>
      <c r="K152" s="190" t="inlineStr">
        <is>
          <t>Specialty: Medicine | Email: info@cmchbhopal.com | [2026-05-01] Outreach sent via email. Verified in docs/bhopal_send_log.txt. No reply logged yet. | [2026-05-01] Zoho sent: You read data for a living — what about your portfolio? | info@cmchbhopal.com | status=success | [2026-05-03 Sunday planning rule] Sunday is planning-only; moved execution due action to 2026-05-04.</t>
        </is>
      </c>
    </row>
    <row r="153">
      <c r="A153" s="190" t="inlineStr">
        <is>
          <t>SCR-DR-002</t>
        </is>
      </c>
      <c r="B153" s="190" t="inlineStr">
        <is>
          <t>Dr. Skand Kumar Trivedi</t>
        </is>
      </c>
      <c r="C153" s="190" t="inlineStr">
        <is>
          <t>Bansal Hospital</t>
        </is>
      </c>
      <c r="D153" s="190" t="inlineStr">
        <is>
          <t>Business</t>
        </is>
      </c>
      <c r="E153" s="190" t="inlineStr">
        <is>
          <t>B</t>
        </is>
      </c>
      <c r="F153" s="190" t="inlineStr">
        <is>
          <t>Contacted</t>
        </is>
      </c>
      <c r="G153" s="190" t="inlineStr">
        <is>
          <t>2026-05-01</t>
        </is>
      </c>
      <c r="H153" s="190" t="inlineStr">
        <is>
          <t>Follow up on the sent outreach and reopen the decision-validation angle with one concrete question tied to their last wrong financial or commercial decision.</t>
        </is>
      </c>
      <c r="I153" s="190" t="inlineStr">
        <is>
          <t>2026-05-04</t>
        </is>
      </c>
      <c r="J153" s="190" t="inlineStr">
        <is>
          <t>Active</t>
        </is>
      </c>
      <c r="K153" s="190" t="inlineStr">
        <is>
          <t>Specialty: Cardiology | Email: skand.trivedi@bansalhospital.com | [2026-05-01] Outreach sent via email. Verified in docs/bhopal_send_log.txt. No reply logged yet. | [2026-05-01] Zoho sent: You read data for a living — what about your portfolio? | skand.trivedi@bansalhospital.com | status=success | [2026-05-03 Sunday planning rule] Sunday is planning-only; moved execution due action to 2026-05-04.</t>
        </is>
      </c>
    </row>
    <row r="154">
      <c r="A154" s="190" t="inlineStr">
        <is>
          <t>SCR-DR-003</t>
        </is>
      </c>
      <c r="B154" s="190" t="inlineStr">
        <is>
          <t>Dr. Gopal Batni</t>
        </is>
      </c>
      <c r="C154" s="190" t="inlineStr">
        <is>
          <t>Apollo Sage Hospital</t>
        </is>
      </c>
      <c r="D154" s="190" t="inlineStr">
        <is>
          <t>Business</t>
        </is>
      </c>
      <c r="E154" s="190" t="inlineStr">
        <is>
          <t>B</t>
        </is>
      </c>
      <c r="F154" s="190" t="inlineStr">
        <is>
          <t>Contacted</t>
        </is>
      </c>
      <c r="G154" s="190" t="inlineStr">
        <is>
          <t>2026-05-01</t>
        </is>
      </c>
      <c r="H154" s="190" t="inlineStr">
        <is>
          <t>Follow up on the sent outreach and reopen the decision-validation angle with one concrete question tied to their last wrong financial or commercial decision.</t>
        </is>
      </c>
      <c r="I154" s="190" t="inlineStr">
        <is>
          <t>2026-05-04</t>
        </is>
      </c>
      <c r="J154" s="190" t="inlineStr">
        <is>
          <t>Active</t>
        </is>
      </c>
      <c r="K154" s="190" t="inlineStr">
        <is>
          <t>Specialty: Internal Med | Email: gopal.batni@apollosage.in | [2026-05-01] Outreach sent via email. Verified in docs/bhopal_send_log.txt. No reply logged yet. | [2026-05-01] Zoho sent: You read data for a living — what about your portfolio? | gopal.batni@apollosage.in | status=success | [2026-05-03 Sunday planning rule] Sunday is planning-only; moved execution due action to 2026-05-04.</t>
        </is>
      </c>
    </row>
    <row r="155">
      <c r="A155" s="190" t="inlineStr">
        <is>
          <t>SCR-DR-004</t>
        </is>
      </c>
      <c r="B155" s="190" t="inlineStr">
        <is>
          <t>Dr. Shyam Agrawal</t>
        </is>
      </c>
      <c r="C155" s="190" t="inlineStr">
        <is>
          <t>Navodaya Oncology</t>
        </is>
      </c>
      <c r="D155" s="190" t="inlineStr">
        <is>
          <t>Business</t>
        </is>
      </c>
      <c r="E155" s="190" t="inlineStr">
        <is>
          <t>B</t>
        </is>
      </c>
      <c r="F155" s="190" t="inlineStr">
        <is>
          <t>Contacted</t>
        </is>
      </c>
      <c r="G155" s="190" t="inlineStr">
        <is>
          <t>2026-05-01</t>
        </is>
      </c>
      <c r="H155" s="190" t="inlineStr">
        <is>
          <t>Follow up on the sent outreach and reopen the decision-validation angle with one concrete question tied to their last wrong financial or commercial decision.</t>
        </is>
      </c>
      <c r="I155" s="190" t="inlineStr">
        <is>
          <t>2026-05-04</t>
        </is>
      </c>
      <c r="J155" s="190" t="inlineStr">
        <is>
          <t>Active</t>
        </is>
      </c>
      <c r="K155" s="190" t="inlineStr">
        <is>
          <t>Specialty: Oncology | Email: contact@navodaya.com | [2026-05-01] Outreach sent via email. Verified in docs/bhopal_send_log.txt. No reply logged yet. | [2026-05-01] Zoho sent: You read data for a living — what about your portfolio? | contact@navodaya.com | status=hasretry | [2026-05-03 Sunday planning rule] Sunday is planning-only; moved execution due action to 2026-05-04.</t>
        </is>
      </c>
    </row>
    <row r="156">
      <c r="A156" s="190" t="inlineStr">
        <is>
          <t>SCR-DR-005</t>
        </is>
      </c>
      <c r="B156" s="190" t="inlineStr">
        <is>
          <t>Dr. Kavita Singh</t>
        </is>
      </c>
      <c r="C156" s="190" t="inlineStr">
        <is>
          <t>GMC / Private Clinic</t>
        </is>
      </c>
      <c r="D156" s="190" t="inlineStr">
        <is>
          <t>Business</t>
        </is>
      </c>
      <c r="E156" s="190" t="inlineStr">
        <is>
          <t>B</t>
        </is>
      </c>
      <c r="F156" s="190" t="inlineStr">
        <is>
          <t>Contacted</t>
        </is>
      </c>
      <c r="G156" s="190" t="inlineStr">
        <is>
          <t>2026-05-01</t>
        </is>
      </c>
      <c r="H156" s="190" t="inlineStr">
        <is>
          <t>Follow up on the previous outreach and ask about the last financial decision that felt informed but was never independently validated.</t>
        </is>
      </c>
      <c r="I156" s="190" t="inlineStr">
        <is>
          <t>2026-05-04</t>
        </is>
      </c>
      <c r="J156" s="190" t="inlineStr">
        <is>
          <t>Active</t>
        </is>
      </c>
      <c r="K156" s="190" t="inlineStr">
        <is>
          <t>Specialty: Gynaecology | Email: kavita.singh@gmc.edu.in | [2026-05-01] Outreach sent via email. Verified in docs/bhopal_send_log.txt. No reply logged yet. | [2026-05-03 Sunday planning rule] Sunday is planning-only; moved execution due action to 2026-05-04.</t>
        </is>
      </c>
    </row>
    <row r="157">
      <c r="A157" s="190" t="inlineStr">
        <is>
          <t>SCR-DR-006</t>
        </is>
      </c>
      <c r="B157" s="190" t="inlineStr">
        <is>
          <t>Dr. Aaditya Sirohi</t>
        </is>
      </c>
      <c r="C157" s="190" t="inlineStr">
        <is>
          <t>AIIMS Bhopal</t>
        </is>
      </c>
      <c r="D157" s="190" t="inlineStr">
        <is>
          <t>Business</t>
        </is>
      </c>
      <c r="E157" s="190" t="inlineStr">
        <is>
          <t>B</t>
        </is>
      </c>
      <c r="F157" s="190" t="inlineStr">
        <is>
          <t>Contacted</t>
        </is>
      </c>
      <c r="G157" s="190" t="inlineStr">
        <is>
          <t>2026-05-01</t>
        </is>
      </c>
      <c r="H157" s="190" t="inlineStr">
        <is>
          <t>Follow up on the sent outreach and reopen the decision-validation angle with one concrete question tied to their last wrong financial or commercial decision.</t>
        </is>
      </c>
      <c r="I157" s="190" t="inlineStr">
        <is>
          <t>2026-05-04</t>
        </is>
      </c>
      <c r="J157" s="190" t="inlineStr">
        <is>
          <t>Active</t>
        </is>
      </c>
      <c r="K157" s="190" t="inlineStr">
        <is>
          <t>Specialty: CTVS Surgery | Email: aaditya.ctvs@aiimsbhopal.edu.in | [2026-05-01] Outreach sent via email. Verified in docs/bhopal_send_log.txt. No reply logged yet. | [2026-05-01] Zoho sent: Evidence-based investing — does this exist? | aaditya.ctvs@aiimsbhopal.edu.in | status=success | [2026-05-03 Sunday planning rule] Sunday is planning-only; moved execution due action to 2026-05-04.</t>
        </is>
      </c>
    </row>
    <row r="158">
      <c r="A158" s="190" t="inlineStr">
        <is>
          <t>SCR-DR-007</t>
        </is>
      </c>
      <c r="B158" s="190" t="inlineStr">
        <is>
          <t>Dr. Rohit Joshi</t>
        </is>
      </c>
      <c r="C158" s="190" t="inlineStr">
        <is>
          <t>Bansal Hospital</t>
        </is>
      </c>
      <c r="D158" s="190" t="inlineStr">
        <is>
          <t>Business</t>
        </is>
      </c>
      <c r="E158" s="190" t="inlineStr">
        <is>
          <t>B</t>
        </is>
      </c>
      <c r="F158" s="190" t="inlineStr">
        <is>
          <t>Contacted</t>
        </is>
      </c>
      <c r="G158" s="190" t="inlineStr">
        <is>
          <t>2026-05-01</t>
        </is>
      </c>
      <c r="H158" s="190" t="inlineStr">
        <is>
          <t>Follow up on the sent outreach and reopen the decision-validation angle with one concrete question tied to their last wrong financial or commercial decision.</t>
        </is>
      </c>
      <c r="I158" s="190" t="inlineStr">
        <is>
          <t>2026-05-04</t>
        </is>
      </c>
      <c r="J158" s="190" t="inlineStr">
        <is>
          <t>Active</t>
        </is>
      </c>
      <c r="K158" s="190" t="inlineStr">
        <is>
          <t>Specialty: Child Neuro | Email: rohit.joshi@bansalhospital.com | [2026-05-01] Outreach sent via email. Verified in docs/bhopal_send_log.txt. No reply logged yet. | [2026-05-01] Zoho sent: You read data for a living — what about your portfolio? | rohit.joshi@bansalhospital.com | status=success | [2026-05-03 Sunday planning rule] Sunday is planning-only; moved execution due action to 2026-05-04.</t>
        </is>
      </c>
    </row>
    <row r="159">
      <c r="A159" s="190" t="inlineStr">
        <is>
          <t>SCR-DR-008</t>
        </is>
      </c>
      <c r="B159" s="190" t="inlineStr">
        <is>
          <t>Dr. Deepti Gupta</t>
        </is>
      </c>
      <c r="C159" s="190" t="inlineStr">
        <is>
          <t>Bansal Hospital</t>
        </is>
      </c>
      <c r="D159" s="190" t="inlineStr">
        <is>
          <t>Business</t>
        </is>
      </c>
      <c r="E159" s="190" t="inlineStr">
        <is>
          <t>B</t>
        </is>
      </c>
      <c r="F159" s="190" t="inlineStr">
        <is>
          <t>Contacted</t>
        </is>
      </c>
      <c r="G159" s="190" t="inlineStr">
        <is>
          <t>2026-05-01</t>
        </is>
      </c>
      <c r="H159" s="190" t="inlineStr">
        <is>
          <t>Follow up on the sent outreach and reopen the decision-validation angle with one concrete question tied to their last wrong financial or commercial decision.</t>
        </is>
      </c>
      <c r="I159" s="190" t="inlineStr">
        <is>
          <t>2026-05-04</t>
        </is>
      </c>
      <c r="J159" s="190" t="inlineStr">
        <is>
          <t>Active</t>
        </is>
      </c>
      <c r="K159" s="190" t="inlineStr">
        <is>
          <t>Specialty: Gynaecology | Email: deepti.gupta@bansalhospital.com | [2026-05-01] Outreach sent via email. Verified in docs/bhopal_send_log.txt. No reply logged yet. | [2026-05-01] Zoho sent: You read data for a living — what about your portfolio? | deepti.gupta@bansalhospital.com | status=success | [2026-05-03 Sunday planning rule] Sunday is planning-only; moved execution due action to 2026-05-04.</t>
        </is>
      </c>
    </row>
    <row r="160">
      <c r="A160" s="190" t="inlineStr">
        <is>
          <t>SCR-DR-009</t>
        </is>
      </c>
      <c r="B160" s="190" t="inlineStr">
        <is>
          <t>Dr. Sunil Malik</t>
        </is>
      </c>
      <c r="C160" s="190" t="inlineStr">
        <is>
          <t>Arera Heart Clinic</t>
        </is>
      </c>
      <c r="D160" s="190" t="inlineStr">
        <is>
          <t>Business</t>
        </is>
      </c>
      <c r="E160" s="190" t="inlineStr">
        <is>
          <t>B</t>
        </is>
      </c>
      <c r="F160" s="190" t="inlineStr">
        <is>
          <t>Contacted</t>
        </is>
      </c>
      <c r="G160" s="190" t="inlineStr">
        <is>
          <t>2026-05-01</t>
        </is>
      </c>
      <c r="H160" s="190" t="inlineStr">
        <is>
          <t>Follow up on the sent outreach and reopen the decision-validation angle with one concrete question tied to their last wrong financial or commercial decision.</t>
        </is>
      </c>
      <c r="I160" s="190" t="inlineStr">
        <is>
          <t>2026-05-04</t>
        </is>
      </c>
      <c r="J160" s="190" t="inlineStr">
        <is>
          <t>Active</t>
        </is>
      </c>
      <c r="K160" s="190" t="inlineStr">
        <is>
          <t>Specialty: Cardiology | Email: sunil.malik@gmail.com | [2026-05-01] Outreach sent via email. Verified in docs/bhopal_send_log.txt. No reply logged yet. | [2026-05-01] Zoho sent: You read data for a living — what about your portfolio? | sunil.malik@gmail.com | status=success | [2026-05-03 Sunday planning rule] Sunday is planning-only; moved execution due action to 2026-05-04.</t>
        </is>
      </c>
    </row>
    <row r="161">
      <c r="A161" s="190" t="inlineStr">
        <is>
          <t>SCR-DR-010</t>
        </is>
      </c>
      <c r="B161" s="190" t="inlineStr">
        <is>
          <t>Dr. Amitabh Sonakiya</t>
        </is>
      </c>
      <c r="C161" s="190" t="inlineStr">
        <is>
          <t>MP Nagar Clinic</t>
        </is>
      </c>
      <c r="D161" s="190" t="inlineStr">
        <is>
          <t>Business</t>
        </is>
      </c>
      <c r="E161" s="190" t="inlineStr">
        <is>
          <t>B</t>
        </is>
      </c>
      <c r="F161" s="190" t="inlineStr">
        <is>
          <t>Contacted</t>
        </is>
      </c>
      <c r="G161" s="190" t="inlineStr">
        <is>
          <t>2026-05-01</t>
        </is>
      </c>
      <c r="H161" s="190" t="inlineStr">
        <is>
          <t>Follow up on the previous outreach and ask about the last financial decision that felt informed but was never independently validated.</t>
        </is>
      </c>
      <c r="I161" s="190" t="inlineStr">
        <is>
          <t>2026-05-04</t>
        </is>
      </c>
      <c r="J161" s="190" t="inlineStr">
        <is>
          <t>Active</t>
        </is>
      </c>
      <c r="K161" s="190" t="inlineStr">
        <is>
          <t>Specialty: Orthopaedics | Email: amitabh.ortho@yahoo.com | [2026-05-01] Outreach sent via email. Verified in docs/bhopal_send_log.txt. No reply logged yet. | [2026-05-03 Sunday planning rule] Sunday is planning-only; moved execution due action to 2026-05-04.</t>
        </is>
      </c>
    </row>
    <row r="162">
      <c r="A162" s="190" t="inlineStr">
        <is>
          <t>SCR-DR-011</t>
        </is>
      </c>
      <c r="B162" s="190" t="inlineStr">
        <is>
          <t>Dr. Shiv Shanker</t>
        </is>
      </c>
      <c r="C162" s="190" t="inlineStr">
        <is>
          <t>Chirayu Medical College</t>
        </is>
      </c>
      <c r="D162" s="190" t="inlineStr">
        <is>
          <t>Business</t>
        </is>
      </c>
      <c r="E162" s="190" t="inlineStr">
        <is>
          <t>B</t>
        </is>
      </c>
      <c r="F162" s="190" t="inlineStr">
        <is>
          <t>Contacted</t>
        </is>
      </c>
      <c r="G162" s="190" t="inlineStr">
        <is>
          <t>2026-05-01</t>
        </is>
      </c>
      <c r="H162" s="190" t="inlineStr">
        <is>
          <t>Follow up on the sent outreach and reopen the decision-validation angle with one concrete question tied to their last wrong financial or commercial decision.</t>
        </is>
      </c>
      <c r="I162" s="190" t="inlineStr">
        <is>
          <t>2026-05-04</t>
        </is>
      </c>
      <c r="J162" s="190" t="inlineStr">
        <is>
          <t>Active</t>
        </is>
      </c>
      <c r="K162" s="190" t="inlineStr">
        <is>
          <t>Specialty: Medicine | Email: dean@cmchbhopal.com | [2026-05-01] Outreach sent via email. Verified in docs/bhopal_send_log.txt. No reply logged yet. | [2026-05-01] Zoho sent: You read data for a living — what about your portfolio? | dean@cmchbhopal.com | status=success | [2026-05-03 Sunday planning rule] Sunday is planning-only; moved execution due action to 2026-05-04.</t>
        </is>
      </c>
    </row>
    <row r="163">
      <c r="A163" s="190" t="inlineStr">
        <is>
          <t>SCR-DR-012</t>
        </is>
      </c>
      <c r="B163" s="190" t="inlineStr">
        <is>
          <t>Dr. Nitesh Arora</t>
        </is>
      </c>
      <c r="C163" s="190" t="inlineStr">
        <is>
          <t>Chirayu Hospital</t>
        </is>
      </c>
      <c r="D163" s="190" t="inlineStr">
        <is>
          <t>Business</t>
        </is>
      </c>
      <c r="E163" s="190" t="inlineStr">
        <is>
          <t>B</t>
        </is>
      </c>
      <c r="F163" s="190" t="inlineStr">
        <is>
          <t>Contacted</t>
        </is>
      </c>
      <c r="G163" s="190" t="inlineStr">
        <is>
          <t>2026-05-01</t>
        </is>
      </c>
      <c r="H163" s="190" t="inlineStr">
        <is>
          <t>Follow up on the previous outreach and ask about the last financial decision that felt informed but was never independently validated.</t>
        </is>
      </c>
      <c r="I163" s="190" t="inlineStr">
        <is>
          <t>2026-05-04</t>
        </is>
      </c>
      <c r="J163" s="190" t="inlineStr">
        <is>
          <t>Active</t>
        </is>
      </c>
      <c r="K163" s="190" t="inlineStr">
        <is>
          <t>Specialty: Cardiology | Email: nitesh.cardio@cmchbhopal.com | [2026-05-01] Outreach sent via email. Verified in docs/bhopal_send_log.txt. No reply logged yet. | [2026-05-03 Sunday planning rule] Sunday is planning-only; moved execution due action to 2026-05-04.</t>
        </is>
      </c>
    </row>
    <row r="164">
      <c r="A164" s="190" t="inlineStr">
        <is>
          <t>SCR-DR-013</t>
        </is>
      </c>
      <c r="B164" s="190" t="inlineStr">
        <is>
          <t>Dr. Rajesh Singh</t>
        </is>
      </c>
      <c r="C164" s="190" t="inlineStr">
        <is>
          <t>AIIMS Bhopal</t>
        </is>
      </c>
      <c r="D164" s="190" t="inlineStr">
        <is>
          <t>Business</t>
        </is>
      </c>
      <c r="E164" s="190" t="inlineStr">
        <is>
          <t>B</t>
        </is>
      </c>
      <c r="F164" s="190" t="inlineStr">
        <is>
          <t>Contacted</t>
        </is>
      </c>
      <c r="G164" s="190" t="inlineStr">
        <is>
          <t>2026-05-01</t>
        </is>
      </c>
      <c r="H164" s="190" t="inlineStr">
        <is>
          <t>Follow up on the previous outreach and ask about the last financial decision that felt informed but was never independently validated.</t>
        </is>
      </c>
      <c r="I164" s="190" t="inlineStr">
        <is>
          <t>2026-05-04</t>
        </is>
      </c>
      <c r="J164" s="190" t="inlineStr">
        <is>
          <t>Active</t>
        </is>
      </c>
      <c r="K164" s="190" t="inlineStr">
        <is>
          <t>Specialty: Psychiatry | Email: rajesh.psych@aiimsbhopal.edu.in | [2026-05-01] Outreach sent via email. Verified in docs/bhopal_send_log.txt. No reply logged yet. | [2026-05-03 Sunday planning rule] Sunday is planning-only; moved execution due action to 2026-05-04.</t>
        </is>
      </c>
    </row>
    <row r="165">
      <c r="A165" s="190" t="inlineStr">
        <is>
          <t>SCR-DR-014</t>
        </is>
      </c>
      <c r="B165" s="190" t="inlineStr">
        <is>
          <t>Dr. Rahul Varma</t>
        </is>
      </c>
      <c r="C165" s="190" t="inlineStr">
        <is>
          <t>Sagar Multispeciality</t>
        </is>
      </c>
      <c r="D165" s="190" t="inlineStr">
        <is>
          <t>Business</t>
        </is>
      </c>
      <c r="E165" s="190" t="inlineStr">
        <is>
          <t>B</t>
        </is>
      </c>
      <c r="F165" s="190" t="inlineStr">
        <is>
          <t>Contacted</t>
        </is>
      </c>
      <c r="G165" s="190" t="inlineStr">
        <is>
          <t>2026-05-01</t>
        </is>
      </c>
      <c r="H165" s="190" t="inlineStr">
        <is>
          <t>Follow up on the previous outreach and ask about the last financial decision that felt informed but was never independently validated.</t>
        </is>
      </c>
      <c r="I165" s="190" t="inlineStr">
        <is>
          <t>2026-05-04</t>
        </is>
      </c>
      <c r="J165" s="190" t="inlineStr">
        <is>
          <t>Active</t>
        </is>
      </c>
      <c r="K165" s="190" t="inlineStr">
        <is>
          <t>Specialty: ENT Surgery | Email: rahul.varma@smhbhopal.com | [2026-05-01] Outreach sent via email. Verified in docs/bhopal_send_log.txt. No reply logged yet. | [2026-05-03 Sunday planning rule] Sunday is planning-only; moved execution due action to 2026-05-04.</t>
        </is>
      </c>
    </row>
    <row r="166">
      <c r="A166" s="190" t="inlineStr">
        <is>
          <t>SCR-DR-015</t>
        </is>
      </c>
      <c r="B166" s="190" t="inlineStr">
        <is>
          <t>Dr. Palak Paliwal</t>
        </is>
      </c>
      <c r="C166" s="190" t="inlineStr">
        <is>
          <t>Paliwal Hospital</t>
        </is>
      </c>
      <c r="D166" s="190" t="inlineStr">
        <is>
          <t>Business</t>
        </is>
      </c>
      <c r="E166" s="190" t="inlineStr">
        <is>
          <t>B</t>
        </is>
      </c>
      <c r="F166" s="190" t="inlineStr">
        <is>
          <t>Contacted</t>
        </is>
      </c>
      <c r="G166" s="190" t="inlineStr">
        <is>
          <t>2026-05-01</t>
        </is>
      </c>
      <c r="H166" s="190" t="inlineStr">
        <is>
          <t>Follow up on the sent outreach and reopen the decision-validation angle with one concrete question tied to their last wrong financial or commercial decision.</t>
        </is>
      </c>
      <c r="I166" s="190" t="inlineStr">
        <is>
          <t>2026-05-04</t>
        </is>
      </c>
      <c r="J166" s="190" t="inlineStr">
        <is>
          <t>Active</t>
        </is>
      </c>
      <c r="K166" s="190" t="inlineStr">
        <is>
          <t>Specialty: Gastroenterology | Email: palak.paliwal@gmail.com | [2026-05-01] Outreach sent via email. Verified in docs/bhopal_send_log.txt. No reply logged yet. | [2026-05-01] Zoho sent: For doctors who don't have time to watch the market | palak.paliwal@gmail.com | status=success | [2026-05-03 Sunday planning rule] Sunday is planning-only; moved execution due action to 2026-05-04.</t>
        </is>
      </c>
    </row>
    <row r="167">
      <c r="A167" s="190" t="inlineStr">
        <is>
          <t>SCR-DR-016</t>
        </is>
      </c>
      <c r="B167" s="190" t="inlineStr">
        <is>
          <t>Dr. JP Sharma</t>
        </is>
      </c>
      <c r="C167" s="190" t="inlineStr">
        <is>
          <t>AIIMS Bhopal</t>
        </is>
      </c>
      <c r="D167" s="190" t="inlineStr">
        <is>
          <t>Business</t>
        </is>
      </c>
      <c r="E167" s="190" t="inlineStr">
        <is>
          <t>B</t>
        </is>
      </c>
      <c r="F167" s="190" t="inlineStr">
        <is>
          <t>Contacted</t>
        </is>
      </c>
      <c r="G167" s="190" t="inlineStr">
        <is>
          <t>2026-05-01</t>
        </is>
      </c>
      <c r="H167" s="190" t="inlineStr">
        <is>
          <t>Follow up on the previous outreach and ask about the last financial decision that felt informed but was never independently validated.</t>
        </is>
      </c>
      <c r="I167" s="190" t="inlineStr">
        <is>
          <t>2026-05-04</t>
        </is>
      </c>
      <c r="J167" s="190" t="inlineStr">
        <is>
          <t>Active</t>
        </is>
      </c>
      <c r="K167" s="190" t="inlineStr">
        <is>
          <t>Specialty: Anesthesiology | Email: jp.sharma@aiimsbhopal.edu.in | [2026-05-01] Outreach sent via email. Verified in docs/bhopal_send_log.txt. No reply logged yet. | [2026-05-03 Sunday planning rule] Sunday is planning-only; moved execution due action to 2026-05-04.</t>
        </is>
      </c>
    </row>
    <row r="168">
      <c r="A168" s="190" t="inlineStr">
        <is>
          <t>SCR-DR-017</t>
        </is>
      </c>
      <c r="B168" s="190" t="inlineStr">
        <is>
          <t>Dr. Seetha Lekshmi B</t>
        </is>
      </c>
      <c r="C168" s="190" t="inlineStr">
        <is>
          <t>Apollo Sage Hospital</t>
        </is>
      </c>
      <c r="D168" s="190" t="inlineStr">
        <is>
          <t>Business</t>
        </is>
      </c>
      <c r="E168" s="190" t="inlineStr">
        <is>
          <t>B</t>
        </is>
      </c>
      <c r="F168" s="190" t="inlineStr">
        <is>
          <t>Contacted</t>
        </is>
      </c>
      <c r="G168" s="190" t="inlineStr">
        <is>
          <t>2026-05-01</t>
        </is>
      </c>
      <c r="H168" s="190" t="inlineStr">
        <is>
          <t>Follow up on the sent outreach and reopen the decision-validation angle with one concrete question tied to their last wrong financial or commercial decision.</t>
        </is>
      </c>
      <c r="I168" s="190" t="inlineStr">
        <is>
          <t>2026-05-04</t>
        </is>
      </c>
      <c r="J168" s="190" t="inlineStr">
        <is>
          <t>Active</t>
        </is>
      </c>
      <c r="K168" s="190" t="inlineStr">
        <is>
          <t>Specialty: Neurology | Email: seetha.lekshmi@apollosage.in | [2026-05-01] Outreach sent via email. Verified in docs/bhopal_send_log.txt. No reply logged yet. | [2026-05-01] Zoho sent: For doctors who don't have time to watch the market | seetha.lekshmi@apollosage.in | status=success | [2026-05-03 Sunday planning rule] Sunday is planning-only; moved execution due action to 2026-05-04.</t>
        </is>
      </c>
    </row>
    <row r="169">
      <c r="A169" s="190" t="inlineStr">
        <is>
          <t>SCR-DR-018</t>
        </is>
      </c>
      <c r="B169" s="190" t="inlineStr">
        <is>
          <t>Dr. Onkar Patel</t>
        </is>
      </c>
      <c r="C169" s="190" t="inlineStr">
        <is>
          <t>Bansal Hospital</t>
        </is>
      </c>
      <c r="D169" s="190" t="inlineStr">
        <is>
          <t>Business</t>
        </is>
      </c>
      <c r="E169" s="190" t="inlineStr">
        <is>
          <t>B</t>
        </is>
      </c>
      <c r="F169" s="190" t="inlineStr">
        <is>
          <t>Contacted</t>
        </is>
      </c>
      <c r="G169" s="190" t="inlineStr">
        <is>
          <t>2026-05-01</t>
        </is>
      </c>
      <c r="H169" s="190" t="inlineStr">
        <is>
          <t>Follow up on the sent outreach and reopen the decision-validation angle with one concrete question tied to their last wrong financial or commercial decision.</t>
        </is>
      </c>
      <c r="I169" s="190" t="inlineStr">
        <is>
          <t>2026-05-04</t>
        </is>
      </c>
      <c r="J169" s="190" t="inlineStr">
        <is>
          <t>Active</t>
        </is>
      </c>
      <c r="K169" s="190" t="inlineStr">
        <is>
          <t>Specialty: Gastroenterology | Email: onkar.patel@bansalhospital.com | [2026-05-01] Outreach sent via email. Verified in docs/bhopal_send_log.txt. No reply logged yet. | [2026-05-01] Zoho sent: For doctors who don't have time to watch the market | onkar.patel@bansalhospital.com | status=success | [2026-05-03 Sunday planning rule] Sunday is planning-only; moved execution due action to 2026-05-04.</t>
        </is>
      </c>
    </row>
    <row r="170">
      <c r="A170" s="190" t="inlineStr">
        <is>
          <t>SCR-DR-019</t>
        </is>
      </c>
      <c r="B170" s="190" t="inlineStr">
        <is>
          <t>Dr. Santosh Agrawal</t>
        </is>
      </c>
      <c r="C170" s="190" t="inlineStr">
        <is>
          <t>Bansal Hospital</t>
        </is>
      </c>
      <c r="D170" s="190" t="inlineStr">
        <is>
          <t>Business</t>
        </is>
      </c>
      <c r="E170" s="190" t="inlineStr">
        <is>
          <t>B</t>
        </is>
      </c>
      <c r="F170" s="190" t="inlineStr">
        <is>
          <t>Contacted</t>
        </is>
      </c>
      <c r="G170" s="190" t="inlineStr">
        <is>
          <t>2026-05-01</t>
        </is>
      </c>
      <c r="H170" s="190" t="inlineStr">
        <is>
          <t>Follow up on the sent outreach and reopen the decision-validation angle with one concrete question tied to their last wrong financial or commercial decision.</t>
        </is>
      </c>
      <c r="I170" s="190" t="inlineStr">
        <is>
          <t>2026-05-04</t>
        </is>
      </c>
      <c r="J170" s="190" t="inlineStr">
        <is>
          <t>Active</t>
        </is>
      </c>
      <c r="K170" s="190" t="inlineStr">
        <is>
          <t>Specialty: Urology | Email: santosh.agrawal@bansalhospital.com | [2026-05-01] Outreach sent via email. Verified in docs/bhopal_send_log.txt. No reply logged yet. | [2026-05-01] Zoho sent: For doctors who don't have time to watch the market | santosh.agrawal@bansalhospital.com | status=success | [2026-05-03 Sunday planning rule] Sunday is planning-only; moved execution due action to 2026-05-04.</t>
        </is>
      </c>
    </row>
    <row r="171">
      <c r="A171" s="190" t="inlineStr">
        <is>
          <t>SCR-DR-020</t>
        </is>
      </c>
      <c r="B171" s="190" t="inlineStr">
        <is>
          <t>Dr. Akhil Kumar Tiwari</t>
        </is>
      </c>
      <c r="C171" s="190" t="inlineStr">
        <is>
          <t>Apollo Sage Hospital</t>
        </is>
      </c>
      <c r="D171" s="190" t="inlineStr">
        <is>
          <t>Business</t>
        </is>
      </c>
      <c r="E171" s="190" t="inlineStr">
        <is>
          <t>B</t>
        </is>
      </c>
      <c r="F171" s="190" t="inlineStr">
        <is>
          <t>Contacted</t>
        </is>
      </c>
      <c r="G171" s="190" t="inlineStr">
        <is>
          <t>2026-05-01</t>
        </is>
      </c>
      <c r="H171" s="190" t="inlineStr">
        <is>
          <t>Follow up on the sent outreach and reopen the decision-validation angle with one concrete question tied to their last wrong financial or commercial decision.</t>
        </is>
      </c>
      <c r="I171" s="190" t="inlineStr">
        <is>
          <t>2026-05-04</t>
        </is>
      </c>
      <c r="J171" s="190" t="inlineStr">
        <is>
          <t>Active</t>
        </is>
      </c>
      <c r="K171" s="190" t="inlineStr">
        <is>
          <t>Specialty: Oncology | Email: akhil.tiwari@apollosage.in | [2026-05-01] Outreach sent via email. Verified in docs/bhopal_send_log.txt. No reply logged yet. | [2026-05-01] Zoho sent: You read data for a living — what about your portfolio? | akhil.tiwari@apollosage.in | status=success | [2026-05-03 Sunday planning rule] Sunday is planning-only; moved execution due action to 2026-05-04.</t>
        </is>
      </c>
    </row>
    <row r="172">
      <c r="A172" s="190" t="inlineStr">
        <is>
          <t>SCR-DR-021</t>
        </is>
      </c>
      <c r="B172" s="190" t="inlineStr">
        <is>
          <t>Dr. Ashish Jain</t>
        </is>
      </c>
      <c r="C172" s="190" t="inlineStr">
        <is>
          <t>Bansal Hospital</t>
        </is>
      </c>
      <c r="D172" s="190" t="inlineStr">
        <is>
          <t>Business</t>
        </is>
      </c>
      <c r="E172" s="190" t="inlineStr">
        <is>
          <t>B</t>
        </is>
      </c>
      <c r="F172" s="190" t="inlineStr">
        <is>
          <t>Contacted</t>
        </is>
      </c>
      <c r="G172" s="190" t="inlineStr">
        <is>
          <t>2026-05-01</t>
        </is>
      </c>
      <c r="H172" s="190" t="inlineStr">
        <is>
          <t>Follow up on the sent outreach and reopen the decision-validation angle with one concrete question tied to their last wrong financial or commercial decision.</t>
        </is>
      </c>
      <c r="I172" s="190" t="inlineStr">
        <is>
          <t>2026-05-04</t>
        </is>
      </c>
      <c r="J172" s="190" t="inlineStr">
        <is>
          <t>Active</t>
        </is>
      </c>
      <c r="K172" s="190" t="inlineStr">
        <is>
          <t>Specialty: Gastroenterology | Email: ashish.jain@bansalhospital.com | [2026-05-01] Outreach sent via email. Verified in docs/bhopal_send_log.txt. No reply logged yet. | [2026-05-01] Zoho sent: For doctors who don't have time to watch the market | ashish.jain@bansalhospital.com | status=hasfailure | [2026-05-03 Sunday planning rule] Sunday is planning-only; moved execution due action to 2026-05-04.</t>
        </is>
      </c>
    </row>
    <row r="173">
      <c r="A173" s="190" t="inlineStr">
        <is>
          <t>SCR-DR-022</t>
        </is>
      </c>
      <c r="B173" s="190" t="inlineStr">
        <is>
          <t>Dr. Sanjay Pandey</t>
        </is>
      </c>
      <c r="C173" s="190" t="inlineStr">
        <is>
          <t>Bansal Hospital</t>
        </is>
      </c>
      <c r="D173" s="190" t="inlineStr">
        <is>
          <t>Business</t>
        </is>
      </c>
      <c r="E173" s="190" t="inlineStr">
        <is>
          <t>B</t>
        </is>
      </c>
      <c r="F173" s="190" t="inlineStr">
        <is>
          <t>Contacted</t>
        </is>
      </c>
      <c r="G173" s="190" t="inlineStr">
        <is>
          <t>2026-05-01</t>
        </is>
      </c>
      <c r="H173" s="190" t="inlineStr">
        <is>
          <t>Follow up on the previous outreach and ask about the last financial decision that felt informed but was never independently validated.</t>
        </is>
      </c>
      <c r="I173" s="190" t="inlineStr">
        <is>
          <t>2026-05-04</t>
        </is>
      </c>
      <c r="J173" s="190" t="inlineStr">
        <is>
          <t>Active</t>
        </is>
      </c>
      <c r="K173" s="190" t="inlineStr">
        <is>
          <t>Specialty: Urology | Email: sanjay.pandey@bansalhospital.com | [2026-05-01] Outreach sent via email. Verified in docs/bhopal_send_log.txt. No reply logged yet. | [2026-05-03 Sunday planning rule] Sunday is planning-only; moved execution due action to 2026-05-04.</t>
        </is>
      </c>
    </row>
    <row r="174">
      <c r="A174" s="190" t="inlineStr">
        <is>
          <t>SCR-DR-023</t>
        </is>
      </c>
      <c r="B174" s="190" t="inlineStr">
        <is>
          <t>Dr. Alok Jaiswal</t>
        </is>
      </c>
      <c r="C174" s="190" t="inlineStr">
        <is>
          <t>Bansal Hospital</t>
        </is>
      </c>
      <c r="D174" s="190" t="inlineStr">
        <is>
          <t>Business</t>
        </is>
      </c>
      <c r="E174" s="190" t="inlineStr">
        <is>
          <t>B</t>
        </is>
      </c>
      <c r="F174" s="190" t="inlineStr">
        <is>
          <t>Contacted</t>
        </is>
      </c>
      <c r="G174" s="190" t="inlineStr">
        <is>
          <t>2026-05-01</t>
        </is>
      </c>
      <c r="H174" s="190" t="inlineStr">
        <is>
          <t>Follow up on the previous outreach and ask about the last financial decision that felt informed but was never independently validated.</t>
        </is>
      </c>
      <c r="I174" s="190" t="inlineStr">
        <is>
          <t>2026-05-04</t>
        </is>
      </c>
      <c r="J174" s="190" t="inlineStr">
        <is>
          <t>Active</t>
        </is>
      </c>
      <c r="K174" s="190" t="inlineStr">
        <is>
          <t>Specialty: Neurosurgery | Email: alok.jaiswal@bansalhospital.com | [2026-05-01] Outreach sent via email. Verified in docs/bhopal_send_log.txt. No reply logged yet. | [2026-05-03 Sunday planning rule] Sunday is planning-only; moved execution due action to 2026-05-04.</t>
        </is>
      </c>
    </row>
    <row r="175">
      <c r="A175" s="190" t="inlineStr">
        <is>
          <t>SCR-DR-024</t>
        </is>
      </c>
      <c r="B175" s="190" t="inlineStr">
        <is>
          <t>Dr. Naveen Pundir</t>
        </is>
      </c>
      <c r="C175" s="190" t="inlineStr">
        <is>
          <t>Bansal Hospital</t>
        </is>
      </c>
      <c r="D175" s="190" t="inlineStr">
        <is>
          <t>Business</t>
        </is>
      </c>
      <c r="E175" s="190" t="inlineStr">
        <is>
          <t>B</t>
        </is>
      </c>
      <c r="F175" s="190" t="inlineStr">
        <is>
          <t>Contacted</t>
        </is>
      </c>
      <c r="G175" s="190" t="inlineStr">
        <is>
          <t>2026-05-01</t>
        </is>
      </c>
      <c r="H175" s="190" t="inlineStr">
        <is>
          <t>Follow up on the previous outreach and ask about the last financial decision that felt informed but was never independently validated.</t>
        </is>
      </c>
      <c r="I175" s="190" t="inlineStr">
        <is>
          <t>2026-05-04</t>
        </is>
      </c>
      <c r="J175" s="190" t="inlineStr">
        <is>
          <t>Active</t>
        </is>
      </c>
      <c r="K175" s="190" t="inlineStr">
        <is>
          <t>Specialty: Oncology | Email: naveen.pundir@bansalhospital.com | [2026-05-01] Outreach sent via email. Verified in docs/bhopal_send_log.txt. No reply logged yet. | [2026-05-03 Sunday planning rule] Sunday is planning-only; moved execution due action to 2026-05-04.</t>
        </is>
      </c>
    </row>
    <row r="176">
      <c r="A176" s="190" t="inlineStr">
        <is>
          <t>SCR-DR-025</t>
        </is>
      </c>
      <c r="B176" s="190" t="inlineStr">
        <is>
          <t>Dr. Manish Jain</t>
        </is>
      </c>
      <c r="C176" s="190" t="inlineStr">
        <is>
          <t>Apollo Sage Hospital</t>
        </is>
      </c>
      <c r="D176" s="190" t="inlineStr">
        <is>
          <t>Business</t>
        </is>
      </c>
      <c r="E176" s="190" t="inlineStr">
        <is>
          <t>B</t>
        </is>
      </c>
      <c r="F176" s="190" t="inlineStr">
        <is>
          <t>Contacted</t>
        </is>
      </c>
      <c r="G176" s="190" t="inlineStr">
        <is>
          <t>2026-05-01</t>
        </is>
      </c>
      <c r="H176" s="190" t="inlineStr">
        <is>
          <t>Follow up on the sent outreach and reopen the decision-validation angle with one concrete question tied to their last wrong financial or commercial decision.</t>
        </is>
      </c>
      <c r="I176" s="190" t="inlineStr">
        <is>
          <t>2026-05-04</t>
        </is>
      </c>
      <c r="J176" s="190" t="inlineStr">
        <is>
          <t>Active</t>
        </is>
      </c>
      <c r="K176" s="190" t="inlineStr">
        <is>
          <t>Specialty: Nephrology | Email: manish.jain@apollosage.in | [2026-05-01] Outreach sent via email. Verified in docs/bhopal_send_log.txt. No reply logged yet. | [2026-05-01] Zoho sent: You read data for a living — what about your portfolio? | manish.jain@apollosage.in | status=success | [2026-05-03 Sunday planning rule] Sunday is planning-only; moved execution due action to 2026-05-04.</t>
        </is>
      </c>
    </row>
    <row r="177">
      <c r="A177" s="190" t="inlineStr">
        <is>
          <t>SCR-DR-026</t>
        </is>
      </c>
      <c r="B177" s="190" t="inlineStr">
        <is>
          <t>Dr. Shweta Singh</t>
        </is>
      </c>
      <c r="C177" s="190" t="inlineStr">
        <is>
          <t>Apollo Sage Hospital</t>
        </is>
      </c>
      <c r="D177" s="190" t="inlineStr">
        <is>
          <t>Business</t>
        </is>
      </c>
      <c r="E177" s="190" t="inlineStr">
        <is>
          <t>B</t>
        </is>
      </c>
      <c r="F177" s="190" t="inlineStr">
        <is>
          <t>Contacted</t>
        </is>
      </c>
      <c r="G177" s="190" t="inlineStr">
        <is>
          <t>2026-05-01</t>
        </is>
      </c>
      <c r="H177" s="190" t="inlineStr">
        <is>
          <t>Follow up on the sent outreach and reopen the decision-validation angle with one concrete question tied to their last wrong financial or commercial decision.</t>
        </is>
      </c>
      <c r="I177" s="190" t="inlineStr">
        <is>
          <t>2026-05-04</t>
        </is>
      </c>
      <c r="J177" s="190" t="inlineStr">
        <is>
          <t>Active</t>
        </is>
      </c>
      <c r="K177" s="190" t="inlineStr">
        <is>
          <t>Specialty: Gynaecology | Email: shweta.singh@apollosage.in | [2026-05-01] Outreach sent via email. Verified in docs/bhopal_send_log.txt. No reply logged yet. | [2026-05-01] Zoho sent: You read data for a living — what about your portfolio? | shweta.singh@apollosage.in | status=success | [2026-05-03 Sunday planning rule] Sunday is planning-only; moved execution due action to 2026-05-04.</t>
        </is>
      </c>
    </row>
    <row r="178">
      <c r="A178" s="190" t="inlineStr">
        <is>
          <t>SCR-DR-027</t>
        </is>
      </c>
      <c r="B178" s="190" t="inlineStr">
        <is>
          <t>Dr. Ankur Gupta</t>
        </is>
      </c>
      <c r="C178" s="190" t="inlineStr">
        <is>
          <t>Apollo Sage Hospital</t>
        </is>
      </c>
      <c r="D178" s="190" t="inlineStr">
        <is>
          <t>Business</t>
        </is>
      </c>
      <c r="E178" s="190" t="inlineStr">
        <is>
          <t>B</t>
        </is>
      </c>
      <c r="F178" s="190" t="inlineStr">
        <is>
          <t>Contacted</t>
        </is>
      </c>
      <c r="G178" s="190" t="inlineStr">
        <is>
          <t>2026-05-01</t>
        </is>
      </c>
      <c r="H178" s="190" t="inlineStr">
        <is>
          <t>Follow up on the sent outreach and reopen the decision-validation angle with one concrete question tied to their last wrong financial or commercial decision.</t>
        </is>
      </c>
      <c r="I178" s="190" t="inlineStr">
        <is>
          <t>2026-05-04</t>
        </is>
      </c>
      <c r="J178" s="190" t="inlineStr">
        <is>
          <t>Active</t>
        </is>
      </c>
      <c r="K178" s="190" t="inlineStr">
        <is>
          <t>Specialty: Orthopaedics | Email: ankur.gupta@apollosage.in | [2026-05-01] Outreach sent via email. Verified in docs/bhopal_send_log.txt. No reply logged yet. | [2026-05-01] Zoho sent: For doctors who don't have time to watch the market | ankur.gupta@apollosage.in | status=success | [2026-05-03 Sunday planning rule] Sunday is planning-only; moved execution due action to 2026-05-04.</t>
        </is>
      </c>
    </row>
    <row r="179">
      <c r="A179" s="190" t="inlineStr">
        <is>
          <t>SCR-DR-028</t>
        </is>
      </c>
      <c r="B179" s="190" t="inlineStr">
        <is>
          <t>Dr. Varun Mittal</t>
        </is>
      </c>
      <c r="C179" s="190" t="inlineStr">
        <is>
          <t>Apollo Sage Hospital</t>
        </is>
      </c>
      <c r="D179" s="190" t="inlineStr">
        <is>
          <t>Business</t>
        </is>
      </c>
      <c r="E179" s="190" t="inlineStr">
        <is>
          <t>B</t>
        </is>
      </c>
      <c r="F179" s="190" t="inlineStr">
        <is>
          <t>Contacted</t>
        </is>
      </c>
      <c r="G179" s="190" t="inlineStr">
        <is>
          <t>2026-05-01</t>
        </is>
      </c>
      <c r="H179" s="190" t="inlineStr">
        <is>
          <t>Follow up on the sent outreach and reopen the decision-validation angle with one concrete question tied to their last wrong financial or commercial decision.</t>
        </is>
      </c>
      <c r="I179" s="190" t="inlineStr">
        <is>
          <t>2026-05-04</t>
        </is>
      </c>
      <c r="J179" s="190" t="inlineStr">
        <is>
          <t>Active</t>
        </is>
      </c>
      <c r="K179" s="190" t="inlineStr">
        <is>
          <t>Specialty: Gastroenterology | Email: varun.mittal@apollosage.in | [2026-05-01] Outreach sent via email. Verified in docs/bhopal_send_log.txt. No reply logged yet. | [2026-05-01] Zoho sent: For doctors who don't have time to watch the market | varun.mittal@apollosage.in | status=success | [2026-05-03 Sunday planning rule] Sunday is planning-only; moved execution due action to 2026-05-04.</t>
        </is>
      </c>
    </row>
    <row r="180">
      <c r="A180" s="190" t="inlineStr">
        <is>
          <t>SCR-DR-029</t>
        </is>
      </c>
      <c r="B180" s="190" t="inlineStr">
        <is>
          <t>Dr. Ritesh Kansal</t>
        </is>
      </c>
      <c r="C180" s="190" t="inlineStr">
        <is>
          <t>Apollo Sage Hospital</t>
        </is>
      </c>
      <c r="D180" s="190" t="inlineStr">
        <is>
          <t>Business</t>
        </is>
      </c>
      <c r="E180" s="190" t="inlineStr">
        <is>
          <t>B</t>
        </is>
      </c>
      <c r="F180" s="190" t="inlineStr">
        <is>
          <t>Contacted</t>
        </is>
      </c>
      <c r="G180" s="190" t="inlineStr">
        <is>
          <t>2026-05-01</t>
        </is>
      </c>
      <c r="H180" s="190" t="inlineStr">
        <is>
          <t>Follow up on the sent outreach and reopen the decision-validation angle with one concrete question tied to their last wrong financial or commercial decision.</t>
        </is>
      </c>
      <c r="I180" s="190" t="inlineStr">
        <is>
          <t>2026-05-04</t>
        </is>
      </c>
      <c r="J180" s="190" t="inlineStr">
        <is>
          <t>Active</t>
        </is>
      </c>
      <c r="K180" s="190" t="inlineStr">
        <is>
          <t>Specialty: Neurosurgery | Email: ritesh.kansal@apollosage.in | [2026-05-01] Outreach sent via email. Verified in docs/bhopal_send_log.txt. No reply logged yet. | [2026-05-01] Zoho sent: For doctors who don't have time to watch the market | ritesh.kansal@apollosage.in | status=success | [2026-05-03 Sunday planning rule] Sunday is planning-only; moved execution due action to 2026-05-04.</t>
        </is>
      </c>
    </row>
    <row r="181">
      <c r="A181" s="190" t="inlineStr">
        <is>
          <t>SCR-DR-030</t>
        </is>
      </c>
      <c r="B181" s="190" t="inlineStr">
        <is>
          <t>Dr. Preeti Jain</t>
        </is>
      </c>
      <c r="C181" s="190" t="inlineStr">
        <is>
          <t>Apollo Sage Hospital</t>
        </is>
      </c>
      <c r="D181" s="190" t="inlineStr">
        <is>
          <t>Business</t>
        </is>
      </c>
      <c r="E181" s="190" t="inlineStr">
        <is>
          <t>B</t>
        </is>
      </c>
      <c r="F181" s="190" t="inlineStr">
        <is>
          <t>Contacted</t>
        </is>
      </c>
      <c r="G181" s="190" t="inlineStr">
        <is>
          <t>2026-05-01</t>
        </is>
      </c>
      <c r="H181" s="190" t="inlineStr">
        <is>
          <t>Follow up on the sent outreach and reopen the decision-validation angle with one concrete question tied to their last wrong financial or commercial decision.</t>
        </is>
      </c>
      <c r="I181" s="190" t="inlineStr">
        <is>
          <t>2026-05-04</t>
        </is>
      </c>
      <c r="J181" s="190" t="inlineStr">
        <is>
          <t>Active</t>
        </is>
      </c>
      <c r="K181" s="190" t="inlineStr">
        <is>
          <t>Specialty: Pediatrics | Email: preeti.jain@apollosage.in | [2026-05-01] Outreach sent via email. Verified in docs/bhopal_send_log.txt. No reply logged yet. | [2026-05-01] Zoho sent: You read data for a living — what about your portfolio? | preeti.jain@apollosage.in | status=success | [2026-05-03 Sunday planning rule] Sunday is planning-only; moved execution due action to 2026-05-04.</t>
        </is>
      </c>
    </row>
    <row r="182">
      <c r="A182" s="190" t="inlineStr">
        <is>
          <t>SCR-DR-031</t>
        </is>
      </c>
      <c r="B182" s="190" t="inlineStr">
        <is>
          <t>Dr. Pankaj Sharma</t>
        </is>
      </c>
      <c r="C182" s="190" t="inlineStr">
        <is>
          <t>Apollo Sage Hospital</t>
        </is>
      </c>
      <c r="D182" s="190" t="inlineStr">
        <is>
          <t>Business</t>
        </is>
      </c>
      <c r="E182" s="190" t="inlineStr">
        <is>
          <t>B</t>
        </is>
      </c>
      <c r="F182" s="190" t="inlineStr">
        <is>
          <t>Contacted</t>
        </is>
      </c>
      <c r="G182" s="190" t="inlineStr">
        <is>
          <t>2026-05-01</t>
        </is>
      </c>
      <c r="H182" s="190" t="inlineStr">
        <is>
          <t>Follow up on the sent outreach and reopen the decision-validation angle with one concrete question tied to their last wrong financial or commercial decision.</t>
        </is>
      </c>
      <c r="I182" s="190" t="inlineStr">
        <is>
          <t>2026-05-04</t>
        </is>
      </c>
      <c r="J182" s="190" t="inlineStr">
        <is>
          <t>Active</t>
        </is>
      </c>
      <c r="K182" s="190" t="inlineStr">
        <is>
          <t>Specialty: Pulmonology | Email: pankaj.sharma@apollosage.in | [2026-05-01] Outreach sent via email. Verified in docs/bhopal_send_log.txt. No reply logged yet. | [2026-05-01] Zoho sent: You read data for a living — what about your portfolio? | pankaj.sharma@apollosage.in | status=success | [2026-05-03 Sunday planning rule] Sunday is planning-only; moved execution due action to 2026-05-04.</t>
        </is>
      </c>
    </row>
    <row r="183">
      <c r="A183" s="190" t="inlineStr">
        <is>
          <t>SCR-DR-032</t>
        </is>
      </c>
      <c r="B183" s="190" t="inlineStr">
        <is>
          <t>Dr. Swati Gupta</t>
        </is>
      </c>
      <c r="C183" s="190" t="inlineStr">
        <is>
          <t>Apollo Sage Hospital</t>
        </is>
      </c>
      <c r="D183" s="190" t="inlineStr">
        <is>
          <t>Business</t>
        </is>
      </c>
      <c r="E183" s="190" t="inlineStr">
        <is>
          <t>B</t>
        </is>
      </c>
      <c r="F183" s="190" t="inlineStr">
        <is>
          <t>Contacted</t>
        </is>
      </c>
      <c r="G183" s="190" t="inlineStr">
        <is>
          <t>2026-05-01</t>
        </is>
      </c>
      <c r="H183" s="190" t="inlineStr">
        <is>
          <t>Follow up on the sent outreach and reopen the decision-validation angle with one concrete question tied to their last wrong financial or commercial decision.</t>
        </is>
      </c>
      <c r="I183" s="190" t="inlineStr">
        <is>
          <t>2026-05-04</t>
        </is>
      </c>
      <c r="J183" s="190" t="inlineStr">
        <is>
          <t>Active</t>
        </is>
      </c>
      <c r="K183" s="190" t="inlineStr">
        <is>
          <t>Specialty: ENT Surgery | Email: swati.gupta@apollosage.in | [2026-05-01] Outreach sent via email. Verified in docs/bhopal_send_log.txt. No reply logged yet. | [2026-05-01] Zoho sent: For doctors who don't have time to watch the market | swati.gupta@apollosage.in | status=success | [2026-05-03 Sunday planning rule] Sunday is planning-only; moved execution due action to 2026-05-04.</t>
        </is>
      </c>
    </row>
    <row r="184">
      <c r="A184" s="190" t="inlineStr">
        <is>
          <t>SCR-DR-033</t>
        </is>
      </c>
      <c r="B184" s="190" t="inlineStr">
        <is>
          <t>Dr. Manoj Kesarwani</t>
        </is>
      </c>
      <c r="C184" s="190" t="inlineStr">
        <is>
          <t>Apollo Sage Hospital</t>
        </is>
      </c>
      <c r="D184" s="190" t="inlineStr">
        <is>
          <t>Business</t>
        </is>
      </c>
      <c r="E184" s="190" t="inlineStr">
        <is>
          <t>B</t>
        </is>
      </c>
      <c r="F184" s="190" t="inlineStr">
        <is>
          <t>Contacted</t>
        </is>
      </c>
      <c r="G184" s="190" t="inlineStr">
        <is>
          <t>2026-05-01</t>
        </is>
      </c>
      <c r="H184" s="190" t="inlineStr">
        <is>
          <t>Follow up on the sent outreach and reopen the decision-validation angle with one concrete question tied to their last wrong financial or commercial decision.</t>
        </is>
      </c>
      <c r="I184" s="190" t="inlineStr">
        <is>
          <t>2026-05-04</t>
        </is>
      </c>
      <c r="J184" s="190" t="inlineStr">
        <is>
          <t>Active</t>
        </is>
      </c>
      <c r="K184" s="190" t="inlineStr">
        <is>
          <t>Specialty: Urology | Email: manoj.kesarwani@apollosage.in | [2026-05-01] Outreach sent via email. Verified in docs/bhopal_send_log.txt. No reply logged yet. | [2026-05-01] Zoho sent: For doctors who don't have time to watch the market | manoj.kesarwani@apollosage.in | status=success | [2026-05-03 Sunday planning rule] Sunday is planning-only; moved execution due action to 2026-05-04.</t>
        </is>
      </c>
    </row>
    <row r="185">
      <c r="A185" s="190" t="inlineStr">
        <is>
          <t>SCR-DR-034</t>
        </is>
      </c>
      <c r="B185" s="190" t="inlineStr">
        <is>
          <t>Dr. Deepthi S</t>
        </is>
      </c>
      <c r="C185" s="190" t="inlineStr">
        <is>
          <t>Apollo Sage Hospital</t>
        </is>
      </c>
      <c r="D185" s="190" t="inlineStr">
        <is>
          <t>Business</t>
        </is>
      </c>
      <c r="E185" s="190" t="inlineStr">
        <is>
          <t>B</t>
        </is>
      </c>
      <c r="F185" s="190" t="inlineStr">
        <is>
          <t>Contacted</t>
        </is>
      </c>
      <c r="G185" s="190" t="inlineStr">
        <is>
          <t>2026-05-01</t>
        </is>
      </c>
      <c r="H185" s="190" t="inlineStr">
        <is>
          <t>Follow up on the sent outreach and reopen the decision-validation angle with one concrete question tied to their last wrong financial or commercial decision.</t>
        </is>
      </c>
      <c r="I185" s="190" t="inlineStr">
        <is>
          <t>2026-05-04</t>
        </is>
      </c>
      <c r="J185" s="190" t="inlineStr">
        <is>
          <t>Active</t>
        </is>
      </c>
      <c r="K185" s="190" t="inlineStr">
        <is>
          <t>Specialty: Dermatology | Email: deepthi.s@apollosage.in | [2026-05-01] Outreach sent via email. Verified in docs/bhopal_send_log.txt. No reply logged yet. | [2026-05-01] Zoho sent: You read data for a living — what about your portfolio? | deepthi.s@apollosage.in | status=success | [2026-05-03 Sunday planning rule] Sunday is planning-only; moved execution due action to 2026-05-04.</t>
        </is>
      </c>
    </row>
    <row r="186">
      <c r="A186" s="190" t="inlineStr">
        <is>
          <t>SCR-DR-035</t>
        </is>
      </c>
      <c r="B186" s="190" t="inlineStr">
        <is>
          <t>Dr. Swapnil</t>
        </is>
      </c>
      <c r="C186" s="190" t="inlineStr">
        <is>
          <t>Peoples Hospital</t>
        </is>
      </c>
      <c r="D186" s="190" t="inlineStr">
        <is>
          <t>Business</t>
        </is>
      </c>
      <c r="E186" s="190" t="inlineStr">
        <is>
          <t>B</t>
        </is>
      </c>
      <c r="F186" s="190" t="inlineStr">
        <is>
          <t>Contacted</t>
        </is>
      </c>
      <c r="G186" s="190" t="inlineStr">
        <is>
          <t>2026-05-01</t>
        </is>
      </c>
      <c r="H186" s="190" t="inlineStr">
        <is>
          <t>Follow up on the previous outreach and ask about the last financial decision that felt informed but was never independently validated.</t>
        </is>
      </c>
      <c r="I186" s="190" t="inlineStr">
        <is>
          <t>2026-05-04</t>
        </is>
      </c>
      <c r="J186" s="190" t="inlineStr">
        <is>
          <t>Active</t>
        </is>
      </c>
      <c r="K186" s="190" t="inlineStr">
        <is>
          <t>Specialty: Neurosurgery | Email: swapnil.neuro@peoples.org | [2026-05-01] Outreach sent via email. Verified in docs/bhopal_send_log.txt. No reply logged yet. | [2026-05-03 Sunday planning rule] Sunday is planning-only; moved execution due action to 2026-05-04.</t>
        </is>
      </c>
    </row>
    <row r="187">
      <c r="A187" s="190" t="inlineStr">
        <is>
          <t>SCR-DR-036</t>
        </is>
      </c>
      <c r="B187" s="190" t="inlineStr">
        <is>
          <t>Dr. S.N. Singh</t>
        </is>
      </c>
      <c r="C187" s="190" t="inlineStr">
        <is>
          <t>Peoples Hospital</t>
        </is>
      </c>
      <c r="D187" s="190" t="inlineStr">
        <is>
          <t>Business</t>
        </is>
      </c>
      <c r="E187" s="190" t="inlineStr">
        <is>
          <t>B</t>
        </is>
      </c>
      <c r="F187" s="190" t="inlineStr">
        <is>
          <t>Contacted</t>
        </is>
      </c>
      <c r="G187" s="190" t="inlineStr">
        <is>
          <t>2026-05-01</t>
        </is>
      </c>
      <c r="H187" s="190" t="inlineStr">
        <is>
          <t>Follow up on the previous outreach and ask about the last financial decision that felt informed but was never independently validated.</t>
        </is>
      </c>
      <c r="I187" s="190" t="inlineStr">
        <is>
          <t>2026-05-04</t>
        </is>
      </c>
      <c r="J187" s="190" t="inlineStr">
        <is>
          <t>Active</t>
        </is>
      </c>
      <c r="K187" s="190" t="inlineStr">
        <is>
          <t>Specialty: Orthopaedics | Email: sn.singh@peopleshospital.org | [2026-05-01] Outreach sent via email. Verified in docs/bhopal_send_log.txt. No reply logged yet. | [2026-05-03 Sunday planning rule] Sunday is planning-only; moved execution due action to 2026-05-04.</t>
        </is>
      </c>
    </row>
    <row r="188">
      <c r="A188" s="190" t="inlineStr">
        <is>
          <t>SCR-DR-037</t>
        </is>
      </c>
      <c r="B188" s="190" t="inlineStr">
        <is>
          <t>Dr. Neeraj Shrivastava</t>
        </is>
      </c>
      <c r="C188" s="190" t="inlineStr">
        <is>
          <t>Peoples Hospital</t>
        </is>
      </c>
      <c r="D188" s="190" t="inlineStr">
        <is>
          <t>Business</t>
        </is>
      </c>
      <c r="E188" s="190" t="inlineStr">
        <is>
          <t>B</t>
        </is>
      </c>
      <c r="F188" s="190" t="inlineStr">
        <is>
          <t>Contacted</t>
        </is>
      </c>
      <c r="G188" s="190" t="inlineStr">
        <is>
          <t>2026-05-01</t>
        </is>
      </c>
      <c r="H188" s="190" t="inlineStr">
        <is>
          <t>Follow up on the previous outreach and ask about the last financial decision that felt informed but was never independently validated.</t>
        </is>
      </c>
      <c r="I188" s="190" t="inlineStr">
        <is>
          <t>2026-05-04</t>
        </is>
      </c>
      <c r="J188" s="190" t="inlineStr">
        <is>
          <t>Active</t>
        </is>
      </c>
      <c r="K188" s="190" t="inlineStr">
        <is>
          <t>Specialty: Internal Med | Email: neeraj.s@peoples.org | [2026-05-01] Outreach sent via email. Verified in docs/bhopal_send_log.txt. No reply logged yet. | [2026-05-03 Sunday planning rule] Sunday is planning-only; moved execution due action to 2026-05-04.</t>
        </is>
      </c>
    </row>
    <row r="189">
      <c r="A189" s="190" t="inlineStr">
        <is>
          <t>SCR-DR-038</t>
        </is>
      </c>
      <c r="B189" s="190" t="inlineStr">
        <is>
          <t>Dr. Anjali Gupta</t>
        </is>
      </c>
      <c r="C189" s="190" t="inlineStr">
        <is>
          <t>Peoples Hospital</t>
        </is>
      </c>
      <c r="D189" s="190" t="inlineStr">
        <is>
          <t>Business</t>
        </is>
      </c>
      <c r="E189" s="190" t="inlineStr">
        <is>
          <t>B</t>
        </is>
      </c>
      <c r="F189" s="190" t="inlineStr">
        <is>
          <t>Contacted</t>
        </is>
      </c>
      <c r="G189" s="190" t="inlineStr">
        <is>
          <t>2026-05-01</t>
        </is>
      </c>
      <c r="H189" s="190" t="inlineStr">
        <is>
          <t>Follow up on the previous outreach and ask about the last financial decision that felt informed but was never independently validated.</t>
        </is>
      </c>
      <c r="I189" s="190" t="inlineStr">
        <is>
          <t>2026-05-04</t>
        </is>
      </c>
      <c r="J189" s="190" t="inlineStr">
        <is>
          <t>Active</t>
        </is>
      </c>
      <c r="K189" s="190" t="inlineStr">
        <is>
          <t>Specialty: Gynaecology | Email: anjali.g@peoples.org | [2026-05-01] Outreach sent via email. Verified in docs/bhopal_send_log.txt. No reply logged yet. | [2026-05-03 Sunday planning rule] Sunday is planning-only; moved execution due action to 2026-05-04.</t>
        </is>
      </c>
    </row>
    <row r="190">
      <c r="A190" s="190" t="inlineStr">
        <is>
          <t>SCR-DR-039</t>
        </is>
      </c>
      <c r="B190" s="190" t="inlineStr">
        <is>
          <t>Dr. Gaurav Gupta</t>
        </is>
      </c>
      <c r="C190" s="190" t="inlineStr">
        <is>
          <t>Peoples Hospital</t>
        </is>
      </c>
      <c r="D190" s="190" t="inlineStr">
        <is>
          <t>Business</t>
        </is>
      </c>
      <c r="E190" s="190" t="inlineStr">
        <is>
          <t>B</t>
        </is>
      </c>
      <c r="F190" s="190" t="inlineStr">
        <is>
          <t>Contacted</t>
        </is>
      </c>
      <c r="G190" s="190" t="inlineStr">
        <is>
          <t>2026-05-01</t>
        </is>
      </c>
      <c r="H190" s="190" t="inlineStr">
        <is>
          <t>Follow up on the previous outreach and ask about the last financial decision that felt informed but was never independently validated.</t>
        </is>
      </c>
      <c r="I190" s="190" t="inlineStr">
        <is>
          <t>2026-05-04</t>
        </is>
      </c>
      <c r="J190" s="190" t="inlineStr">
        <is>
          <t>Active</t>
        </is>
      </c>
      <c r="K190" s="190" t="inlineStr">
        <is>
          <t>Specialty: ENT Surgery | Email: gaurav.g@peoples.org | [2026-05-01] Outreach sent via email. Verified in docs/bhopal_send_log.txt. No reply logged yet. | [2026-05-03 Sunday planning rule] Sunday is planning-only; moved execution due action to 2026-05-04.</t>
        </is>
      </c>
    </row>
    <row r="191">
      <c r="A191" s="190" t="inlineStr">
        <is>
          <t>SCR-DR-040</t>
        </is>
      </c>
      <c r="B191" s="190" t="inlineStr">
        <is>
          <t>Dr. Hemant Verma</t>
        </is>
      </c>
      <c r="C191" s="190" t="inlineStr">
        <is>
          <t>Peoples Hospital</t>
        </is>
      </c>
      <c r="D191" s="190" t="inlineStr">
        <is>
          <t>Business</t>
        </is>
      </c>
      <c r="E191" s="190" t="inlineStr">
        <is>
          <t>B</t>
        </is>
      </c>
      <c r="F191" s="190" t="inlineStr">
        <is>
          <t>Contacted</t>
        </is>
      </c>
      <c r="G191" s="190" t="inlineStr">
        <is>
          <t>2026-05-01</t>
        </is>
      </c>
      <c r="H191" s="190" t="inlineStr">
        <is>
          <t>Follow up on the previous outreach and ask about the last financial decision that felt informed but was never independently validated.</t>
        </is>
      </c>
      <c r="I191" s="190" t="inlineStr">
        <is>
          <t>2026-05-04</t>
        </is>
      </c>
      <c r="J191" s="190" t="inlineStr">
        <is>
          <t>Active</t>
        </is>
      </c>
      <c r="K191" s="190" t="inlineStr">
        <is>
          <t>Specialty: Ophthalmology | Email: hemant.v@peoples.org | [2026-05-01] Outreach sent via email. Verified in docs/bhopal_send_log.txt. No reply logged yet. | [2026-05-03 Sunday planning rule] Sunday is planning-only; moved execution due action to 2026-05-04.</t>
        </is>
      </c>
    </row>
    <row r="192">
      <c r="A192" s="190" t="inlineStr">
        <is>
          <t>SCR-DR-041</t>
        </is>
      </c>
      <c r="B192" s="190" t="inlineStr">
        <is>
          <t>Dr. Rajiv Singh</t>
        </is>
      </c>
      <c r="C192" s="190" t="inlineStr">
        <is>
          <t>Peoples Hospital</t>
        </is>
      </c>
      <c r="D192" s="190" t="inlineStr">
        <is>
          <t>Business</t>
        </is>
      </c>
      <c r="E192" s="190" t="inlineStr">
        <is>
          <t>B</t>
        </is>
      </c>
      <c r="F192" s="190" t="inlineStr">
        <is>
          <t>Contacted</t>
        </is>
      </c>
      <c r="G192" s="190" t="inlineStr">
        <is>
          <t>2026-05-01</t>
        </is>
      </c>
      <c r="H192" s="190" t="inlineStr">
        <is>
          <t>Follow up on the previous outreach and ask about the last financial decision that felt informed but was never independently validated.</t>
        </is>
      </c>
      <c r="I192" s="190" t="inlineStr">
        <is>
          <t>2026-05-04</t>
        </is>
      </c>
      <c r="J192" s="190" t="inlineStr">
        <is>
          <t>Active</t>
        </is>
      </c>
      <c r="K192" s="190" t="inlineStr">
        <is>
          <t>Specialty: Psychiatry | Email: rajiv.s@peoples.org | [2026-05-01] Outreach sent via email. Verified in docs/bhopal_send_log.txt. No reply logged yet. | [2026-05-03 Sunday planning rule] Sunday is planning-only; moved execution due action to 2026-05-04.</t>
        </is>
      </c>
    </row>
    <row r="193">
      <c r="A193" s="190" t="inlineStr">
        <is>
          <t>SCR-DR-042</t>
        </is>
      </c>
      <c r="B193" s="190" t="inlineStr">
        <is>
          <t>Dr. S.K. Sharma</t>
        </is>
      </c>
      <c r="C193" s="190" t="inlineStr">
        <is>
          <t>Peoples Hospital</t>
        </is>
      </c>
      <c r="D193" s="190" t="inlineStr">
        <is>
          <t>Business</t>
        </is>
      </c>
      <c r="E193" s="190" t="inlineStr">
        <is>
          <t>B</t>
        </is>
      </c>
      <c r="F193" s="190" t="inlineStr">
        <is>
          <t>Contacted</t>
        </is>
      </c>
      <c r="G193" s="190" t="inlineStr">
        <is>
          <t>2026-05-01</t>
        </is>
      </c>
      <c r="H193" s="190" t="inlineStr">
        <is>
          <t>Follow up on the previous outreach and ask about the last financial decision that felt informed but was never independently validated.</t>
        </is>
      </c>
      <c r="I193" s="190" t="inlineStr">
        <is>
          <t>2026-05-04</t>
        </is>
      </c>
      <c r="J193" s="190" t="inlineStr">
        <is>
          <t>Active</t>
        </is>
      </c>
      <c r="K193" s="190" t="inlineStr">
        <is>
          <t>Specialty: Dermatology | Email: sk.sharma@peoples.org | [2026-05-01] Outreach sent via email. Verified in docs/bhopal_send_log.txt. No reply logged yet. | [2026-05-03 Sunday planning rule] Sunday is planning-only; moved execution due action to 2026-05-04.</t>
        </is>
      </c>
    </row>
    <row r="194">
      <c r="A194" s="190" t="inlineStr">
        <is>
          <t>SCR-DR-043</t>
        </is>
      </c>
      <c r="B194" s="190" t="inlineStr">
        <is>
          <t>Dr. Manish Sahu</t>
        </is>
      </c>
      <c r="C194" s="190" t="inlineStr">
        <is>
          <t>Peoples Hospital</t>
        </is>
      </c>
      <c r="D194" s="190" t="inlineStr">
        <is>
          <t>Business</t>
        </is>
      </c>
      <c r="E194" s="190" t="inlineStr">
        <is>
          <t>B</t>
        </is>
      </c>
      <c r="F194" s="190" t="inlineStr">
        <is>
          <t>Contacted</t>
        </is>
      </c>
      <c r="G194" s="190" t="inlineStr">
        <is>
          <t>2026-05-01</t>
        </is>
      </c>
      <c r="H194" s="190" t="inlineStr">
        <is>
          <t>Follow up on the previous outreach and ask about the last financial decision that felt informed but was never independently validated.</t>
        </is>
      </c>
      <c r="I194" s="190" t="inlineStr">
        <is>
          <t>2026-05-04</t>
        </is>
      </c>
      <c r="J194" s="190" t="inlineStr">
        <is>
          <t>Active</t>
        </is>
      </c>
      <c r="K194" s="190" t="inlineStr">
        <is>
          <t>Specialty: Dentistry | Email: manish.s@peoples.org | [2026-05-01] Outreach sent via email. Verified in docs/bhopal_send_log.txt. No reply logged yet. | [2026-05-03 Sunday planning rule] Sunday is planning-only; moved execution due action to 2026-05-04.</t>
        </is>
      </c>
    </row>
    <row r="195">
      <c r="A195" s="190" t="inlineStr">
        <is>
          <t>SCR-DR-044</t>
        </is>
      </c>
      <c r="B195" s="190" t="inlineStr">
        <is>
          <t>Dr. P.K. Rai</t>
        </is>
      </c>
      <c r="C195" s="190" t="inlineStr">
        <is>
          <t>Peoples Hospital</t>
        </is>
      </c>
      <c r="D195" s="190" t="inlineStr">
        <is>
          <t>Business</t>
        </is>
      </c>
      <c r="E195" s="190" t="inlineStr">
        <is>
          <t>B</t>
        </is>
      </c>
      <c r="F195" s="190" t="inlineStr">
        <is>
          <t>Contacted</t>
        </is>
      </c>
      <c r="G195" s="190" t="inlineStr">
        <is>
          <t>2026-05-01</t>
        </is>
      </c>
      <c r="H195" s="190" t="inlineStr">
        <is>
          <t>Follow up on the previous outreach and ask about the last financial decision that felt informed but was never independently validated.</t>
        </is>
      </c>
      <c r="I195" s="190" t="inlineStr">
        <is>
          <t>2026-05-04</t>
        </is>
      </c>
      <c r="J195" s="190" t="inlineStr">
        <is>
          <t>Active</t>
        </is>
      </c>
      <c r="K195" s="190" t="inlineStr">
        <is>
          <t>Specialty: Cardiology | Email: pk.rai@peoples.org | [2026-05-01] Outreach sent via email. Verified in docs/bhopal_send_log.txt. No reply logged yet. | [2026-05-03 Sunday planning rule] Sunday is planning-only; moved execution due action to 2026-05-04.</t>
        </is>
      </c>
    </row>
    <row r="196">
      <c r="A196" s="190" t="inlineStr">
        <is>
          <t>SCR-DR-045</t>
        </is>
      </c>
      <c r="B196" s="190" t="inlineStr">
        <is>
          <t>Dr. Sunita Jain</t>
        </is>
      </c>
      <c r="C196" s="190" t="inlineStr">
        <is>
          <t>Peoples Hospital</t>
        </is>
      </c>
      <c r="D196" s="190" t="inlineStr">
        <is>
          <t>Business</t>
        </is>
      </c>
      <c r="E196" s="190" t="inlineStr">
        <is>
          <t>B</t>
        </is>
      </c>
      <c r="F196" s="190" t="inlineStr">
        <is>
          <t>Contacted</t>
        </is>
      </c>
      <c r="G196" s="190" t="inlineStr">
        <is>
          <t>2026-05-01</t>
        </is>
      </c>
      <c r="H196" s="190" t="inlineStr">
        <is>
          <t>Follow up on the previous outreach and ask about the last financial decision that felt informed but was never independently validated.</t>
        </is>
      </c>
      <c r="I196" s="190" t="inlineStr">
        <is>
          <t>2026-05-04</t>
        </is>
      </c>
      <c r="J196" s="190" t="inlineStr">
        <is>
          <t>Active</t>
        </is>
      </c>
      <c r="K196" s="190" t="inlineStr">
        <is>
          <t>Specialty: Paediatrics | Email: sunita.j@peoples.org | [2026-05-01] Outreach sent via email. Verified in docs/bhopal_send_log.txt. No reply logged yet. | [2026-05-03 Sunday planning rule] Sunday is planning-only; moved execution due action to 2026-05-04.</t>
        </is>
      </c>
    </row>
    <row r="197">
      <c r="A197" s="190" t="inlineStr">
        <is>
          <t>SCR-DR-046</t>
        </is>
      </c>
      <c r="B197" s="190" t="inlineStr">
        <is>
          <t>Dr. Anil Gupta</t>
        </is>
      </c>
      <c r="C197" s="190" t="inlineStr">
        <is>
          <t>Noble Multispeciality</t>
        </is>
      </c>
      <c r="D197" s="190" t="inlineStr">
        <is>
          <t>Business</t>
        </is>
      </c>
      <c r="E197" s="190" t="inlineStr">
        <is>
          <t>B</t>
        </is>
      </c>
      <c r="F197" s="190" t="inlineStr">
        <is>
          <t>Contacted</t>
        </is>
      </c>
      <c r="G197" s="190" t="inlineStr">
        <is>
          <t>2026-05-01</t>
        </is>
      </c>
      <c r="H197" s="190" t="inlineStr">
        <is>
          <t>Follow up on the previous outreach and ask about the last financial decision that felt informed but was never independently validated.</t>
        </is>
      </c>
      <c r="I197" s="190" t="inlineStr">
        <is>
          <t>2026-05-04</t>
        </is>
      </c>
      <c r="J197" s="190" t="inlineStr">
        <is>
          <t>Active</t>
        </is>
      </c>
      <c r="K197" s="190" t="inlineStr">
        <is>
          <t>Specialty: Orthopaedics | Email: anil.gupta@noblebhopal.com | [2026-05-01] Outreach sent via email. Verified in docs/bhopal_send_log.txt. No reply logged yet. | [2026-05-03 Sunday planning rule] Sunday is planning-only; moved execution due action to 2026-05-04.</t>
        </is>
      </c>
    </row>
    <row r="198">
      <c r="A198" s="190" t="inlineStr">
        <is>
          <t>SCR-DR-047</t>
        </is>
      </c>
      <c r="B198" s="190" t="inlineStr">
        <is>
          <t>Dr. Rekha Jain</t>
        </is>
      </c>
      <c r="C198" s="190" t="inlineStr">
        <is>
          <t>Noble Multispeciality</t>
        </is>
      </c>
      <c r="D198" s="190" t="inlineStr">
        <is>
          <t>Business</t>
        </is>
      </c>
      <c r="E198" s="190" t="inlineStr">
        <is>
          <t>B</t>
        </is>
      </c>
      <c r="F198" s="190" t="inlineStr">
        <is>
          <t>Contacted</t>
        </is>
      </c>
      <c r="G198" s="190" t="inlineStr">
        <is>
          <t>2026-05-01</t>
        </is>
      </c>
      <c r="H198" s="190" t="inlineStr">
        <is>
          <t>Follow up on the previous outreach and ask about the last financial decision that felt informed but was never independently validated.</t>
        </is>
      </c>
      <c r="I198" s="190" t="inlineStr">
        <is>
          <t>2026-05-04</t>
        </is>
      </c>
      <c r="J198" s="190" t="inlineStr">
        <is>
          <t>Active</t>
        </is>
      </c>
      <c r="K198" s="190" t="inlineStr">
        <is>
          <t>Specialty: Gynaecology | Email: rekha.jain@noblebhopal.com | [2026-05-01] Outreach sent via email. Verified in docs/bhopal_send_log.txt. No reply logged yet. | [2026-05-03 Sunday planning rule] Sunday is planning-only; moved execution due action to 2026-05-04.</t>
        </is>
      </c>
    </row>
    <row r="199">
      <c r="A199" s="190" t="inlineStr">
        <is>
          <t>SCR-DR-048</t>
        </is>
      </c>
      <c r="B199" s="190" t="inlineStr">
        <is>
          <t>Dr. Vikas Shrivastava</t>
        </is>
      </c>
      <c r="C199" s="190" t="inlineStr">
        <is>
          <t>Noble Multispeciality</t>
        </is>
      </c>
      <c r="D199" s="190" t="inlineStr">
        <is>
          <t>Business</t>
        </is>
      </c>
      <c r="E199" s="190" t="inlineStr">
        <is>
          <t>B</t>
        </is>
      </c>
      <c r="F199" s="190" t="inlineStr">
        <is>
          <t>Contacted</t>
        </is>
      </c>
      <c r="G199" s="190" t="inlineStr">
        <is>
          <t>2026-05-01</t>
        </is>
      </c>
      <c r="H199" s="190" t="inlineStr">
        <is>
          <t>Follow up on the previous outreach and ask about the last financial decision that felt informed but was never independently validated.</t>
        </is>
      </c>
      <c r="I199" s="190" t="inlineStr">
        <is>
          <t>2026-05-04</t>
        </is>
      </c>
      <c r="J199" s="190" t="inlineStr">
        <is>
          <t>Active</t>
        </is>
      </c>
      <c r="K199" s="190" t="inlineStr">
        <is>
          <t>Specialty: Internal Med | Email: vikas.s@noblebhopal.com | [2026-05-01] Outreach sent via email. Verified in docs/bhopal_send_log.txt. No reply logged yet. | [2026-05-03 Sunday planning rule] Sunday is planning-only; moved execution due action to 2026-05-04.</t>
        </is>
      </c>
    </row>
    <row r="200">
      <c r="A200" s="190" t="inlineStr">
        <is>
          <t>SCR-DR-049</t>
        </is>
      </c>
      <c r="B200" s="190" t="inlineStr">
        <is>
          <t>Dr. Rahul Saini</t>
        </is>
      </c>
      <c r="C200" s="190" t="inlineStr">
        <is>
          <t>Noble Multispeciality</t>
        </is>
      </c>
      <c r="D200" s="190" t="inlineStr">
        <is>
          <t>Business</t>
        </is>
      </c>
      <c r="E200" s="190" t="inlineStr">
        <is>
          <t>B</t>
        </is>
      </c>
      <c r="F200" s="190" t="inlineStr">
        <is>
          <t>Contacted</t>
        </is>
      </c>
      <c r="G200" s="190" t="inlineStr">
        <is>
          <t>2026-05-01</t>
        </is>
      </c>
      <c r="H200" s="190" t="inlineStr">
        <is>
          <t>Follow up on the previous outreach and ask about the last financial decision that felt informed but was never independently validated.</t>
        </is>
      </c>
      <c r="I200" s="190" t="inlineStr">
        <is>
          <t>2026-05-04</t>
        </is>
      </c>
      <c r="J200" s="190" t="inlineStr">
        <is>
          <t>Active</t>
        </is>
      </c>
      <c r="K200" s="190" t="inlineStr">
        <is>
          <t>Specialty: Paediatrics | Email: rahul.s@noblebhopal.com | [2026-05-01] Outreach sent via email. Verified in docs/bhopal_send_log.txt. No reply logged yet. | [2026-05-03 Sunday planning rule] Sunday is planning-only; moved execution due action to 2026-05-04.</t>
        </is>
      </c>
    </row>
    <row r="201">
      <c r="A201" s="190" t="inlineStr">
        <is>
          <t>SCR-EM-001</t>
        </is>
      </c>
      <c r="B201" s="190" t="inlineStr">
        <is>
          <t>Shanu Goel</t>
        </is>
      </c>
      <c r="C201" s="190" t="inlineStr">
        <is>
          <t>ICAI</t>
        </is>
      </c>
      <c r="D201" s="190" t="inlineStr">
        <is>
          <t>CA</t>
        </is>
      </c>
      <c r="E201" s="190" t="inlineStr">
        <is>
          <t>A</t>
        </is>
      </c>
      <c r="F201" s="190" t="inlineStr">
        <is>
          <t>Contacted</t>
        </is>
      </c>
      <c r="G201" s="190" t="inlineStr">
        <is>
          <t>2026-05-02</t>
        </is>
      </c>
      <c r="H201" s="190" t="inlineStr">
        <is>
          <t>Follow-up 1: send Advisor/CA variant; trigger client wrong-decision recall and ask whether a validation step exists before action.</t>
        </is>
      </c>
      <c r="I201" s="190" t="inlineStr">
        <is>
          <t>2026-05-04</t>
        </is>
      </c>
      <c r="J201" s="190" t="inlineStr">
        <is>
          <t>Active</t>
        </is>
      </c>
      <c r="K201" s="190" t="inlineStr">
        <is>
          <t>Email: shanu.goel@icai.in | [2026-05-02] Zoho sent: A practical capability for ICAI member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Advisor CA.</t>
        </is>
      </c>
      <c r="L201" t="inlineStr">
        <is>
          <t>Messaging Test Batch 1; Founder Circle Candidate; Founder Circle Day 1-3; Yearly Rs 4,899; No Cold Expansion; Follow-up 1; Monday Planning</t>
        </is>
      </c>
    </row>
    <row r="202">
      <c r="A202" s="190" t="inlineStr">
        <is>
          <t>SCR-EM-002</t>
        </is>
      </c>
      <c r="B202" s="190" t="inlineStr">
        <is>
          <t>Abhishek</t>
        </is>
      </c>
      <c r="C202" s="190" t="inlineStr">
        <is>
          <t>D&amp;A CA</t>
        </is>
      </c>
      <c r="D202" s="190" t="inlineStr">
        <is>
          <t>CA</t>
        </is>
      </c>
      <c r="E202" s="190" t="inlineStr">
        <is>
          <t>A</t>
        </is>
      </c>
      <c r="F202" s="190" t="inlineStr">
        <is>
          <t>Contacted</t>
        </is>
      </c>
      <c r="G202" s="190" t="inlineStr">
        <is>
          <t>2026-05-02</t>
        </is>
      </c>
      <c r="H202" s="190" t="inlineStr">
        <is>
          <t>Follow-up 1: send Advisor/CA variant; trigger client wrong-decision recall and ask whether a validation step exists before action.</t>
        </is>
      </c>
      <c r="I202" s="190" t="inlineStr">
        <is>
          <t>2026-05-04</t>
        </is>
      </c>
      <c r="J202" s="190" t="inlineStr">
        <is>
          <t>Active</t>
        </is>
      </c>
      <c r="K202" s="190" t="inlineStr">
        <is>
          <t>Email: abhishek@dandaca.com | [2026-05-02] Zoho sent: Before your clients invest — one gap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Advisor CA.</t>
        </is>
      </c>
      <c r="L202" t="inlineStr">
        <is>
          <t>Messaging Test Batch 1; Founder Circle Candidate; Founder Circle Day 1-3; Yearly Rs 4,899; No Cold Expansion; Follow-up 1; Monday Planning</t>
        </is>
      </c>
    </row>
    <row r="203">
      <c r="A203" s="190" t="inlineStr">
        <is>
          <t>SCR-EM-003</t>
        </is>
      </c>
      <c r="B203" s="190" t="inlineStr">
        <is>
          <t>Pratyush (pratyush Nishantkar) N.</t>
        </is>
      </c>
      <c r="C203" s="190" t="inlineStr">
        <is>
          <t>Collegedunia</t>
        </is>
      </c>
      <c r="D203" s="190" t="inlineStr">
        <is>
          <t>Association</t>
        </is>
      </c>
      <c r="E203" s="190" t="inlineStr">
        <is>
          <t>B</t>
        </is>
      </c>
      <c r="F203" s="190" t="inlineStr">
        <is>
          <t>Contacted</t>
        </is>
      </c>
      <c r="G203" s="190" t="inlineStr">
        <is>
          <t>2026-05-02</t>
        </is>
      </c>
      <c r="H203" s="190" t="inlineStr">
        <is>
          <t>Follow-up 1 for platform partnership outreach if no reply</t>
        </is>
      </c>
      <c r="I203" s="190" t="inlineStr">
        <is>
          <t>2026-05-04</t>
        </is>
      </c>
      <c r="J203" s="190" t="inlineStr">
        <is>
          <t>Active</t>
        </is>
      </c>
      <c r="K203" s="190" t="inlineStr">
        <is>
          <t>Email: pratyush.nishantkar@collegedunia.com | [2026-05-02] Zoho sent: A new revenue layer from your existing traffic | status=success | Source: Sent folder 8585832000000002022 | Source: platform partnership outreach table | SheetStatus: Contacted | LinkedIn: linkedin.com/in/ACoAABH-xyMBi7swKOpC2Ofo7cJxcdUC5024Im8 | Company LinkedIn: linkedin.com/school/collegedunia | Website: collegedunia.com | Email: pratyush.nishantkar@collegedunia.com | Mobile: missing | [2026-05-02] Platform partnership source row refreshed</t>
        </is>
      </c>
    </row>
    <row r="204">
      <c r="A204" s="190" t="inlineStr">
        <is>
          <t>SCR-EM-004</t>
        </is>
      </c>
      <c r="B204" s="190" t="inlineStr">
        <is>
          <t>Dushyant Chaturvedi</t>
        </is>
      </c>
      <c r="C204" s="190" t="inlineStr">
        <is>
          <t>Internshala</t>
        </is>
      </c>
      <c r="D204" s="190" t="inlineStr">
        <is>
          <t>Association</t>
        </is>
      </c>
      <c r="E204" s="190" t="inlineStr">
        <is>
          <t>B</t>
        </is>
      </c>
      <c r="F204" s="190" t="inlineStr">
        <is>
          <t>Contacted</t>
        </is>
      </c>
      <c r="G204" s="190" t="inlineStr">
        <is>
          <t>2026-05-02</t>
        </is>
      </c>
      <c r="H204" s="190" t="inlineStr">
        <is>
          <t>Follow-up 1 for platform partnership outreach if no reply</t>
        </is>
      </c>
      <c r="I204" s="190" t="inlineStr">
        <is>
          <t>2026-05-04</t>
        </is>
      </c>
      <c r="J204" s="190" t="inlineStr">
        <is>
          <t>Active</t>
        </is>
      </c>
      <c r="K204" s="190" t="inlineStr">
        <is>
          <t>Email: dushyant.chaturvedi@internshala.com | [2026-05-02] Zoho sent: After Internshala, what next? | status=success | Source: Sent folder 8585832000000002022 | Source: platform partnership outreach table | SheetStatus: Contacted | LinkedIn: linkedin.com/in/ACoAAAnqTjMBVls-pr0iMPV0pdcMwMxMKb-G85c | Company LinkedIn: linkedin.com/company/internshala | Website: internshala.com | Email: dushyant.chaturvedi@internshala.com | Mobile: missing | [2026-05-02] Platform partnership source row refreshed</t>
        </is>
      </c>
    </row>
    <row r="205">
      <c r="A205" s="190" t="inlineStr">
        <is>
          <t>SCR-EM-005</t>
        </is>
      </c>
      <c r="B205" s="190" t="inlineStr">
        <is>
          <t>Abuzar Jamal</t>
        </is>
      </c>
      <c r="C205" s="190" t="inlineStr">
        <is>
          <t>Collegedunia</t>
        </is>
      </c>
      <c r="D205" s="190" t="inlineStr">
        <is>
          <t>Association</t>
        </is>
      </c>
      <c r="E205" s="190" t="inlineStr">
        <is>
          <t>B</t>
        </is>
      </c>
      <c r="F205" s="190" t="inlineStr">
        <is>
          <t>Contacted</t>
        </is>
      </c>
      <c r="G205" s="190" t="inlineStr">
        <is>
          <t>2026-05-02</t>
        </is>
      </c>
      <c r="H205" s="190" t="inlineStr">
        <is>
          <t>Follow-up 1 for platform partnership outreach if no reply</t>
        </is>
      </c>
      <c r="I205" s="190" t="inlineStr">
        <is>
          <t>2026-05-04</t>
        </is>
      </c>
      <c r="J205" s="190" t="inlineStr">
        <is>
          <t>Active</t>
        </is>
      </c>
      <c r="K205" s="190" t="inlineStr">
        <is>
          <t>Email: abuzar.jamal@collegedunia.com | [2026-05-02] Zoho sent: Extending revenue beyond college decisions | status=success | Source: Sent folder 8585832000000002022 | Source: platform partnership outreach table | SheetStatus: Contacted | LinkedIn: linkedin.com/in/ACoAABy7XtYBHgA5V1kKvWMTzdBMHupJsqD7rjM | Company LinkedIn: linkedin.com/school/collegedunia | Website: collegedunia.com | Email: abuzar.jamal@collegedunia.com | Mobile: missing | [2026-05-02] Platform partnership source row refreshed</t>
        </is>
      </c>
    </row>
    <row r="206">
      <c r="A206" s="190" t="inlineStr">
        <is>
          <t>SCR-EM-006</t>
        </is>
      </c>
      <c r="B206" s="190" t="inlineStr">
        <is>
          <t>Praful Bele</t>
        </is>
      </c>
      <c r="C206" s="190" t="inlineStr">
        <is>
          <t>Collegedunia</t>
        </is>
      </c>
      <c r="D206" s="190" t="inlineStr">
        <is>
          <t>Association</t>
        </is>
      </c>
      <c r="E206" s="190" t="inlineStr">
        <is>
          <t>B</t>
        </is>
      </c>
      <c r="F206" s="190" t="inlineStr">
        <is>
          <t>Contacted</t>
        </is>
      </c>
      <c r="G206" s="190" t="inlineStr">
        <is>
          <t>2026-05-02</t>
        </is>
      </c>
      <c r="H206" s="190" t="inlineStr">
        <is>
          <t>Follow-up 1 for platform partnership outreach if no reply</t>
        </is>
      </c>
      <c r="I206" s="190" t="inlineStr">
        <is>
          <t>2026-05-04</t>
        </is>
      </c>
      <c r="J206" s="190" t="inlineStr">
        <is>
          <t>Active</t>
        </is>
      </c>
      <c r="K206" s="190" t="inlineStr">
        <is>
          <t>Email: praful.bele@collegedunia.com | [2026-05-02] Zoho sent: A revenue layer on top of your existing user base | status=success | Source: Sent folder 8585832000000002022 | Source: platform partnership outreach table | SheetStatus: Contacted | LinkedIn: linkedin.com/in/ACoAACP9cSsBxG3-Wlh5EwQyoIyMqIEpRcInPWw | Company LinkedIn: linkedin.com/school/collegedunia | Website: collegedunia.com | Email: praful.bele@collegedunia.com | Mobile: 918779320849 | [2026-05-02] Platform partnership source row refreshed</t>
        </is>
      </c>
    </row>
    <row r="207">
      <c r="A207" s="190" t="inlineStr">
        <is>
          <t>SCR-EM-007</t>
        </is>
      </c>
      <c r="B207" s="190" t="inlineStr">
        <is>
          <t>Romeo Ghosh</t>
        </is>
      </c>
      <c r="C207" s="190" t="inlineStr">
        <is>
          <t>Nobroker</t>
        </is>
      </c>
      <c r="D207" s="190" t="inlineStr">
        <is>
          <t>Association</t>
        </is>
      </c>
      <c r="E207" s="190" t="inlineStr">
        <is>
          <t>B</t>
        </is>
      </c>
      <c r="F207" s="190" t="inlineStr">
        <is>
          <t>Contacted</t>
        </is>
      </c>
      <c r="G207" s="190" t="inlineStr">
        <is>
          <t>2026-05-02</t>
        </is>
      </c>
      <c r="H207" s="190" t="inlineStr">
        <is>
          <t>Follow-up 1 for platform partnership outreach if no reply</t>
        </is>
      </c>
      <c r="I207" s="190" t="inlineStr">
        <is>
          <t>2026-05-04</t>
        </is>
      </c>
      <c r="J207" s="190" t="inlineStr">
        <is>
          <t>Active</t>
        </is>
      </c>
      <c r="K207" s="190" t="inlineStr">
        <is>
          <t>Email: romeo.ghosh@nobroker.in | [2026-05-02] Zoho sent: Where your users hesitate before acting | status=success | Source: Sent folder 8585832000000002022 | Source: platform partnership outreach table | SheetStatus: Contacted | LinkedIn: linkedin.com/in/ACoAABtfdPUBlEWxTuCdpAfhZpBzjKsCIkibhjA | Company LinkedIn: linkedin.com/company/nobroker-in | Website: nobroker.in | Email: romeo.ghosh@nobroker.in | Mobile: 918376061525 | [2026-05-02] Platform partnership source row refreshed</t>
        </is>
      </c>
    </row>
    <row r="208">
      <c r="A208" s="190" t="inlineStr">
        <is>
          <t>SCR-EM-008</t>
        </is>
      </c>
      <c r="B208" s="190" t="inlineStr">
        <is>
          <t>Kopal Seth</t>
        </is>
      </c>
      <c r="C208" s="190" t="inlineStr">
        <is>
          <t>Internshala</t>
        </is>
      </c>
      <c r="D208" s="190" t="inlineStr">
        <is>
          <t>Association</t>
        </is>
      </c>
      <c r="E208" s="190" t="inlineStr">
        <is>
          <t>B</t>
        </is>
      </c>
      <c r="F208" s="190" t="inlineStr">
        <is>
          <t>Contacted</t>
        </is>
      </c>
      <c r="G208" s="190" t="inlineStr">
        <is>
          <t>2026-05-02</t>
        </is>
      </c>
      <c r="H208" s="190" t="inlineStr">
        <is>
          <t>Follow-up 1 for platform partnership outreach if no reply</t>
        </is>
      </c>
      <c r="I208" s="190" t="inlineStr">
        <is>
          <t>2026-05-04</t>
        </is>
      </c>
      <c r="J208" s="190" t="inlineStr">
        <is>
          <t>Active</t>
        </is>
      </c>
      <c r="K208" s="190" t="inlineStr">
        <is>
          <t>Email: kopal@internshala.com | [2026-05-02] Zoho sent: When learning turns into real decisions | status=success | Source: Sent folder 8585832000000002022 | Source: platform partnership outreach table | SheetStatus: Contacted | LinkedIn: linkedin.com/in/ACoAAB9zp4IBoTVDi-sQWxmsQ2zk_Y5ebNXKwqk | Company LinkedIn: linkedin.com/company/internshala | Website: internshala.com | Email: kopal@internshala.com | Mobile: missing | [2026-05-02] Platform partnership source row refreshed</t>
        </is>
      </c>
    </row>
    <row r="209">
      <c r="A209" s="190" t="inlineStr">
        <is>
          <t>SCR-EM-009</t>
        </is>
      </c>
      <c r="B209" s="190" t="inlineStr">
        <is>
          <t>Bhargav Yellapragada</t>
        </is>
      </c>
      <c r="C209" s="190" t="inlineStr">
        <is>
          <t>Zomato</t>
        </is>
      </c>
      <c r="D209" s="190" t="inlineStr">
        <is>
          <t>Association</t>
        </is>
      </c>
      <c r="E209" s="190" t="inlineStr">
        <is>
          <t>B</t>
        </is>
      </c>
      <c r="F209" s="190" t="inlineStr">
        <is>
          <t>Contacted</t>
        </is>
      </c>
      <c r="G209" s="190" t="inlineStr">
        <is>
          <t>2026-05-02</t>
        </is>
      </c>
      <c r="H209" s="190" t="inlineStr">
        <is>
          <t>Follow-up 1 for platform partnership outreach if no reply</t>
        </is>
      </c>
      <c r="I209" s="190" t="inlineStr">
        <is>
          <t>2026-05-04</t>
        </is>
      </c>
      <c r="J209" s="190" t="inlineStr">
        <is>
          <t>Active</t>
        </is>
      </c>
      <c r="K209" s="190" t="inlineStr">
        <is>
          <t>Email: bhargav.yellapragada@zomato.com | [2026-05-02] Zoho sent: A missing layer in high-intent transactions | status=success | Source: Sent folder 8585832000000002022 | Source: platform partnership outreach table | SheetStatus: Contacted | LinkedIn: linkedin.com/in/ACoAAAfhhOEBhP4u4GondMFdJR0IY3fIGVnYOoU | Company LinkedIn: linkedin.com/company/zomato ,bhargavtinku@gmail.com | Website: zomato.com | Email: bhargav.yellapragada@zomato.com | Mobile: 91 99664 46197 | [2026-05-02] Platform partnership source row refreshed</t>
        </is>
      </c>
    </row>
    <row r="210">
      <c r="A210" s="190" t="inlineStr">
        <is>
          <t>SCR-EM-010</t>
        </is>
      </c>
      <c r="B210" s="190" t="inlineStr">
        <is>
          <t>Shilpi Srivastav</t>
        </is>
      </c>
      <c r="C210" s="190" t="inlineStr">
        <is>
          <t>Swiggy</t>
        </is>
      </c>
      <c r="D210" s="190" t="inlineStr">
        <is>
          <t>Association</t>
        </is>
      </c>
      <c r="E210" s="190" t="inlineStr">
        <is>
          <t>A</t>
        </is>
      </c>
      <c r="F210" s="190" t="inlineStr">
        <is>
          <t>Contacted</t>
        </is>
      </c>
      <c r="G210" s="190" t="inlineStr">
        <is>
          <t>2026-05-02</t>
        </is>
      </c>
      <c r="H210" s="190" t="inlineStr">
        <is>
          <t>Hold outside BO/CA Follow-up 1 variant batch; prepare a separate platform-partnership validation angle before Monday execution.</t>
        </is>
      </c>
      <c r="I210" s="190" t="inlineStr">
        <is>
          <t>2026-05-04</t>
        </is>
      </c>
      <c r="J210" s="190" t="inlineStr">
        <is>
          <t>Active</t>
        </is>
      </c>
      <c r="K210" s="190" t="inlineStr">
        <is>
          <t>Email: shilpi.srivastav@swiggy.in | [2026-05-02] Zoho sent: Where fast decisions reduce long-term value, Blinkit revenue sharing partnership proposal | status=hasretry | Source: Sent folder 8585832000000002022 | Source: platform partnership outreach table | SheetStatus: Contacted | LinkedIn: linkedin.com/in/ACoAAAvrkjcB0sYhlZe-rl-XALdGGWJ5SUd08jk | Company LinkedIn: linkedin.com/company/swiggy-in | Website: careers.swiggy.com | Email: shilpi.srivastav@swiggy.in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210" t="inlineStr">
        <is>
          <t>Messaging Test Batch 1; Founder Circle Candidate; Founder Circle Day 1-3; Yearly Rs 4,899; No Cold Expansion; Monday Planning; Platform Follow-up Separate Angle</t>
        </is>
      </c>
    </row>
    <row r="211">
      <c r="A211" s="190" t="inlineStr">
        <is>
          <t>SCR-EM-011</t>
        </is>
      </c>
      <c r="B211" s="190" t="inlineStr">
        <is>
          <t>Suhas Mishra</t>
        </is>
      </c>
      <c r="C211" s="190" t="inlineStr">
        <is>
          <t>Housing</t>
        </is>
      </c>
      <c r="D211" s="190" t="inlineStr">
        <is>
          <t>Association</t>
        </is>
      </c>
      <c r="E211" s="190" t="inlineStr">
        <is>
          <t>B</t>
        </is>
      </c>
      <c r="F211" s="190" t="inlineStr">
        <is>
          <t>Contacted</t>
        </is>
      </c>
      <c r="G211" s="190" t="inlineStr">
        <is>
          <t>2026-05-02</t>
        </is>
      </c>
      <c r="H211" s="190" t="inlineStr">
        <is>
          <t>Follow-up 1 for platform partnership outreach if no reply</t>
        </is>
      </c>
      <c r="I211" s="190" t="inlineStr">
        <is>
          <t>2026-05-04</t>
        </is>
      </c>
      <c r="J211" s="190" t="inlineStr">
        <is>
          <t>Active</t>
        </is>
      </c>
      <c r="K211" s="190" t="inlineStr">
        <is>
          <t>Email: suhas.mishra@housing.com | [2026-05-02] Zoho sent: Users decide property, but don’t validate financial decisions | status=success | Source: Sent folder 8585832000000002022 | Source: platform partnership outreach table | SheetStatus: Contacted | LinkedIn: linkedin.com/in/ACoAAALgKlQBSWSrDYpPs9_tq67jTOqoGRsMe7k | Company LinkedIn: linkedin.com/company/housing-com | Website: housing.com | Email: suhas.mishra@housing.com | Mobile: missing | [2026-05-02] Platform partnership source row refreshed</t>
        </is>
      </c>
    </row>
    <row r="212">
      <c r="A212" s="190" t="inlineStr">
        <is>
          <t>SCR-EM-012</t>
        </is>
      </c>
      <c r="B212" s="190" t="inlineStr">
        <is>
          <t>Nikita Patankar</t>
        </is>
      </c>
      <c r="C212" s="190" t="inlineStr">
        <is>
          <t>Nobroker</t>
        </is>
      </c>
      <c r="D212" s="190" t="inlineStr">
        <is>
          <t>Association</t>
        </is>
      </c>
      <c r="E212" s="190" t="inlineStr">
        <is>
          <t>B</t>
        </is>
      </c>
      <c r="F212" s="190" t="inlineStr">
        <is>
          <t>Contacted</t>
        </is>
      </c>
      <c r="G212" s="190" t="inlineStr">
        <is>
          <t>2026-05-01</t>
        </is>
      </c>
      <c r="H212" s="190" t="inlineStr">
        <is>
          <t>Follow-up 1 for platform partnership outreach if no reply</t>
        </is>
      </c>
      <c r="I212" s="190" t="inlineStr">
        <is>
          <t>2026-05-04</t>
        </is>
      </c>
      <c r="J212" s="190" t="inlineStr">
        <is>
          <t>Active</t>
        </is>
      </c>
      <c r="K212" s="190" t="inlineStr">
        <is>
          <t>Email: nikita.patankar@nobroker.in | [2026-05-01] Zoho sent: Extending decision-making beyond property discovery | status=success | Source: Sent folder 8585832000000002022 | Source: platform partnership outreach table | SheetStatus: Contacted | LinkedIn: linkedin.com/in/ACoAABkg3BMB3XX3HcheH3KnhuTcnoBCCQp_LX0 | Company LinkedIn: linkedin.com/company/nobroker-in | Website: nobroker.in | Email: nikita.patankar@nobroker.in | Mobile: missing | [2026-05-02] Platform partnership source row refreshed</t>
        </is>
      </c>
    </row>
    <row r="213">
      <c r="A213" s="190" t="inlineStr">
        <is>
          <t>SCR-EM-013</t>
        </is>
      </c>
      <c r="B213" s="190" t="inlineStr">
        <is>
          <t>Sahel Chalana</t>
        </is>
      </c>
      <c r="C213" s="190" t="inlineStr">
        <is>
          <t>Collegedunia</t>
        </is>
      </c>
      <c r="D213" s="190" t="inlineStr">
        <is>
          <t>Association</t>
        </is>
      </c>
      <c r="E213" s="190" t="inlineStr">
        <is>
          <t>B</t>
        </is>
      </c>
      <c r="F213" s="190" t="inlineStr">
        <is>
          <t>Contacted</t>
        </is>
      </c>
      <c r="G213" s="190" t="inlineStr">
        <is>
          <t>2026-05-01</t>
        </is>
      </c>
      <c r="H213" s="190" t="inlineStr">
        <is>
          <t>Follow up on the sent outreach and reopen the decision-validation angle with one concrete question tied to their audience, members, or last decision bottleneck.</t>
        </is>
      </c>
      <c r="I213" s="190" t="inlineStr">
        <is>
          <t>2026-05-04</t>
        </is>
      </c>
      <c r="J213" s="190" t="inlineStr">
        <is>
          <t>Active</t>
        </is>
      </c>
      <c r="K213" s="190" t="inlineStr">
        <is>
          <t>Email: sahelchalana@gmail.com | [2026-05-01] Zoho sent: Collegedunia × Fnomo (distribution + revenue share) | status=success | Source: Sent folder 8585832000000002022 | [2026-05-03 Sunday planning rule] Sunday is planning-only; moved execution due action to 2026-05-04.</t>
        </is>
      </c>
    </row>
    <row r="214">
      <c r="A214" s="190" t="inlineStr">
        <is>
          <t>SCR-EM-014</t>
        </is>
      </c>
      <c r="B214" s="190" t="inlineStr">
        <is>
          <t>Corporate Slot 5</t>
        </is>
      </c>
      <c r="C214" s="190" t="inlineStr">
        <is>
          <t>Corporate Slot 5</t>
        </is>
      </c>
      <c r="D214" s="190" t="inlineStr">
        <is>
          <t>Business</t>
        </is>
      </c>
      <c r="E214" s="190" t="inlineStr">
        <is>
          <t>B</t>
        </is>
      </c>
      <c r="F214" s="190" t="inlineStr">
        <is>
          <t>Contacted</t>
        </is>
      </c>
      <c r="G214" s="190" t="inlineStr">
        <is>
          <t>2026-04-30</t>
        </is>
      </c>
      <c r="H214" s="190" t="inlineStr">
        <is>
          <t>Follow up on the sent outreach and reopen the decision-validation angle with one concrete question tied to their audience, members, or last decision bottleneck.</t>
        </is>
      </c>
      <c r="I214" s="190" t="inlineStr">
        <is>
          <t>2026-05-02</t>
        </is>
      </c>
      <c r="J214" s="190" t="inlineStr">
        <is>
          <t>Active</t>
        </is>
      </c>
      <c r="K214" s="190" t="inlineStr">
        <is>
          <t>Email: tbd@corporate.com | [2026-04-30] Zoho sent: What if Corporate Slot 5's Leadership Development Initiative Isn't Reaching Its Full Potential? | status=success | Source: Sent folder 8585832000000002022</t>
        </is>
      </c>
    </row>
    <row r="215">
      <c r="A215" s="190" t="inlineStr">
        <is>
          <t>SCR-BO-043</t>
        </is>
      </c>
      <c r="B215" s="190" t="inlineStr">
        <is>
          <t>Poonam Chouksey</t>
        </is>
      </c>
      <c r="C215" s="190" t="inlineStr">
        <is>
          <t>Parvati Sweetners and Power Limited</t>
        </is>
      </c>
      <c r="D215" s="190" t="inlineStr">
        <is>
          <t>Business</t>
        </is>
      </c>
      <c r="E215" s="190" t="inlineStr">
        <is>
          <t>A</t>
        </is>
      </c>
      <c r="F215" s="190" t="inlineStr">
        <is>
          <t>New</t>
        </is>
      </c>
      <c r="G215" s="190" t="n"/>
      <c r="H215" s="190" t="inlineStr">
        <is>
          <t>After first-wave follow-ups are logged, send Poonam Chouksey a CMD/CEO note on commodity, procurement, capex, and working-capital decisions that need validation before commitment.</t>
        </is>
      </c>
      <c r="I215" s="190" t="inlineStr">
        <is>
          <t>2026-05-04</t>
        </is>
      </c>
      <c r="J215" s="190" t="inlineStr">
        <is>
          <t>Active</t>
        </is>
      </c>
      <c r="K215" s="190" t="inlineStr">
        <is>
          <t>Channel: info@parvatisweetners.com; info@parvatisweetners.co.in | Phone 0755-4009254 | Contact: Poonam Chouksey | Chairperson &amp; Managing Director / CEO; Anupam Chouksey | Executive Director; Shweta Chouksey | CFO; Khadija Husain | Company Secretary. | Source: Official Parvati corporate page https://parvatisweetners.co.in/about/ and Moneycontrol/StockAnalysis public profiles refreshed 2026-05-03. | Decision_Gap: sugar/bioethanol businesses make commodity, procurement, capex, and cash-cycle decisions where confidence can outrun validation before money moves. | Tier A listed-manufacturer route; use after first-wave follow-up logging. | [2026-05-03 overnight priority enrichment] Official Parvati page reconfirms Poonam Chouksey as Chairperson &amp; Managing Director, emails info@parvatisweetners.com / info@parvatisweetners.co.in, and phone 0755-4009254; no direct personal public email found, so use official/company-secretary route. | [2026-05-03 overnight priority enrichment] Moneycontrol/StockAnalysis verify Poonam Chouksey as CMD/CEO and public contact info@parvatisweetners.com / 0755-4009254. Keep as verified listed-company Tier A second batch.</t>
        </is>
      </c>
      <c r="L215" t="inlineStr">
        <is>
          <t>Priority Follow-up Sync; Verified Public Route</t>
        </is>
      </c>
    </row>
    <row r="216">
      <c r="A216" s="190" t="inlineStr">
        <is>
          <t>SCR-BO-044</t>
        </is>
      </c>
      <c r="B216" s="190" t="inlineStr">
        <is>
          <t>C. E. Fernandes</t>
        </is>
      </c>
      <c r="C216" s="190" t="inlineStr">
        <is>
          <t>GEI Industrial Systems Limited</t>
        </is>
      </c>
      <c r="D216" s="190" t="inlineStr">
        <is>
          <t>Business</t>
        </is>
      </c>
      <c r="E216" s="190" t="inlineStr">
        <is>
          <t>A</t>
        </is>
      </c>
      <c r="F216" s="190" t="inlineStr">
        <is>
          <t>New</t>
        </is>
      </c>
      <c r="G216" s="190" t="n"/>
      <c r="H216" s="190" t="inlineStr">
        <is>
          <t>After first-wave follow-ups are logged, send C.E. Fernandes a CMD note on bid, vendor, project, and capex decisions that need validation before commitment.</t>
        </is>
      </c>
      <c r="I216" s="190" t="inlineStr">
        <is>
          <t>2026-05-04</t>
        </is>
      </c>
      <c r="J216" s="190" t="inlineStr">
        <is>
          <t>Active</t>
        </is>
      </c>
      <c r="K216" s="190" t="inlineStr">
        <is>
          <t>Channel: pscmd@geiind.com; cs@geiind.com; cmdgei@yahoo.co.in | Phones +91-7554922011, +91-7554926350, +91-7554923011; registered-office 0755-2586691 | Contact: C.E. Fernandes | Chairman &amp; Managing Director; Bernard John | Joint Managing Director route. | Source: Official GEI site https://geiind.com/ and Moneycontrol GEI management/contact page refreshed 2026-05-03. | Decision_Gap: engineering/project businesses make expensive bid, capacity, vendor, and project-risk calls where a pre-action validation layer is commercially legible. | Tier A listed/industrial leadership route; use after first-wave follow-up logging. | [2026-05-03 overnight priority enrichment] Moneycontrol/official public route reconfirms C.E. Fernandes as CMD, cs@geiind.com and registered-office phone 0755-2586691; keep pscmd@geiind.com as leadership route and cs@geiind.com for compliance/secretarial backup. | [2026-05-03 overnight priority enrichment] Official GEI site verifies pscmd@geiind.com and +91-7554922011/26350/23011; keep cs@geiind.com as support/compliance route, not first touch.</t>
        </is>
      </c>
      <c r="L216" t="inlineStr">
        <is>
          <t>Priority Follow-up Sync; Verified Public Route</t>
        </is>
      </c>
    </row>
    <row r="217">
      <c r="A217" s="190" t="inlineStr">
        <is>
          <t>SCR-BO-045</t>
        </is>
      </c>
      <c r="B217" s="190" t="inlineStr">
        <is>
          <t>Jaspal Singh</t>
        </is>
      </c>
      <c r="C217" s="190" t="inlineStr">
        <is>
          <t>C.J. Gelatine Products Limited</t>
        </is>
      </c>
      <c r="D217" s="190" t="inlineStr">
        <is>
          <t>Business</t>
        </is>
      </c>
      <c r="E217" s="190" t="inlineStr">
        <is>
          <t>A</t>
        </is>
      </c>
      <c r="F217" s="190" t="inlineStr">
        <is>
          <t>New</t>
        </is>
      </c>
      <c r="G217" s="190" t="n"/>
      <c r="H217" s="190" t="inlineStr">
        <is>
          <t>After first-wave follow-ups are logged, send Jaspal Singh a chair/MD note on procurement, plant-utilization, export, and quality decisions where wrong calls become visible late.</t>
        </is>
      </c>
      <c r="I217" s="190" t="inlineStr">
        <is>
          <t>2026-05-04</t>
        </is>
      </c>
      <c r="J217" s="190" t="inlineStr">
        <is>
          <t>Active</t>
        </is>
      </c>
      <c r="K217" s="190" t="inlineStr">
        <is>
          <t>Channel: contact@cjgelatineproducts.com; cjsecretarial@gmail.com | Factory phone 91-7480-423301 | Company-secretary/investor phone 07480-423302 | Contact: Jaspal Singh | Chairman and Managing Director; Harman Singh | Executive Director / Company Secretary route. | Source: Official C.J. Gelatine board/contact page https://www.cjgelatineproducts.com/board_of_directors__kmp and public management profiles refreshed 2026-05-03. | Decision_Gap: specialty manufacturing creates procurement, plant-utilization, quality, and market-timing decisions where judgment needs stress-testing before capital is committed. | Tier A listed manufacturer; use after first-wave follow-up logging. | [2026-05-03 overnight priority enrichment] Official C.J. Gelatine board/contact page reconfirms Jaspal Singh as Chairman &amp; Managing Director, contact@cjgelatineproducts.com and factory phone 91-7480-423301; annual-report route supports cjsecretarial@gmail.com / 07480-423302 via Harman Singh. | [2026-05-03 overnight priority enrichment] Official C.J. Gelatine board/contact page verifies Jaspal Singh as Chairman and Managing Director plus contact@cjgelatineproducts.com / 91-7480-423301; annual-report route supports cjsecretarial@gmail.com / 07480-423302.</t>
        </is>
      </c>
      <c r="L217" t="inlineStr">
        <is>
          <t>Priority Follow-up Sync; Verified Public Route</t>
        </is>
      </c>
    </row>
    <row r="218">
      <c r="A218" s="190" t="inlineStr">
        <is>
          <t>SCR-BO-046</t>
        </is>
      </c>
      <c r="B218" s="190" t="inlineStr">
        <is>
          <t>Rakesh Agrawal</t>
        </is>
      </c>
      <c r="C218" s="190" t="inlineStr">
        <is>
          <t>Autosign Industries</t>
        </is>
      </c>
      <c r="D218" s="190" t="inlineStr">
        <is>
          <t>Business</t>
        </is>
      </c>
      <c r="E218" s="190" t="inlineStr">
        <is>
          <t>B</t>
        </is>
      </c>
      <c r="F218" s="190" t="inlineStr">
        <is>
          <t>New</t>
        </is>
      </c>
      <c r="G218" s="190" t="n"/>
      <c r="H218" s="190" t="inlineStr">
        <is>
          <t>Keep as queued direct-owner route; after Tier A listed/industrial sends are logged, call Rakesh Agrawal to verify scale and ask about the last tender or project commitment that should have been stress-tested earlier.</t>
        </is>
      </c>
      <c r="I218" s="190" t="inlineStr">
        <is>
          <t>2026-05-04</t>
        </is>
      </c>
      <c r="J218" s="190" t="inlineStr">
        <is>
          <t>Waiting</t>
        </is>
      </c>
      <c r="K218" s="190" t="inlineStr">
        <is>
          <t>Channel: rakesh@autosignindustries.com; kamal@autosignindustries.com; info@autosignindustries.com | Office 0755-4243311 | Rakesh mobile +91-8602252541 | Kamal mobile +91-9425043311 | Contact: Rakesh Agrawal | Managing Director; Kamal Kishor Agrawal | Chairman. | Source: Official Autosign contact page https://www.autosignindustries.com/contactus.html refreshed 2026-05-03. | Decision_Gap: road-safety and industrial-supply owners face tender, inventory, and project-timing decisions where confidence can outrun validation. | Tier B until revenue/intent is confirmed; do not add to first-wave owner send.</t>
        </is>
      </c>
    </row>
    <row r="219">
      <c r="A219" s="190" t="inlineStr">
        <is>
          <t>SCR-BO-047</t>
        </is>
      </c>
      <c r="B219" s="190" t="inlineStr">
        <is>
          <t>Govind Singh Dangi</t>
        </is>
      </c>
      <c r="C219" s="190" t="inlineStr">
        <is>
          <t>Farmila Ventures Private Limited</t>
        </is>
      </c>
      <c r="D219" s="190" t="inlineStr">
        <is>
          <t>Business</t>
        </is>
      </c>
      <c r="E219" s="190" t="inlineStr">
        <is>
          <t>B</t>
        </is>
      </c>
      <c r="F219" s="190" t="inlineStr">
        <is>
          <t>New</t>
        </is>
      </c>
      <c r="G219" s="190" t="n"/>
      <c r="H219" s="190" t="inlineStr">
        <is>
          <t>Queue as agri-machinery owner route; verify scale and active owner availability by phone before promotion, then open on dealer-credit, farmer-equipment, and service-capacity decisions.</t>
        </is>
      </c>
      <c r="I219" s="190" t="inlineStr">
        <is>
          <t>2026-05-04</t>
        </is>
      </c>
      <c r="J219" s="190" t="inlineStr">
        <is>
          <t>Waiting</t>
        </is>
      </c>
      <c r="K219" s="190" t="inlineStr">
        <is>
          <t>Channel: gsdangi@gmail.com; pushpendrasingh25@gmail.com; farmilaventures@gmail.com | Phones 9009990650, 9630055837 | Contact: Govind Singh Dangi | Managing Director / Director; Pushpendra Singh | Managing Director / Director | Source: Official Farmila managing-director page plus public company profiles confirming active director roles. | Decision_Gap: Agri-equipment businesses sit between dealer judgment and farmer capital decisions, making validation before purchase/action a practical angle. | Tier B pending scale validation; keep behind Tier A listed/industrial owner routes.</t>
        </is>
      </c>
    </row>
    <row r="220">
      <c r="A220" s="190" t="inlineStr">
        <is>
          <t>SCR-CA-042</t>
        </is>
      </c>
      <c r="B220" s="190" t="inlineStr">
        <is>
          <t>Abhay Chhajed</t>
        </is>
      </c>
      <c r="C220" s="190" t="inlineStr">
        <is>
          <t>CIRC / Bhopal Ex-Officio Route</t>
        </is>
      </c>
      <c r="D220" s="190" t="inlineStr">
        <is>
          <t>CA</t>
        </is>
      </c>
      <c r="E220" s="190" t="inlineStr">
        <is>
          <t>A</t>
        </is>
      </c>
      <c r="F220" s="190" t="inlineStr">
        <is>
          <t>New</t>
        </is>
      </c>
      <c r="G220" s="190" t="n"/>
      <c r="H220" s="190" t="inlineStr">
        <is>
          <t>Use Abhay Chhajed only after Arpit/Abhishek Follow-up 1 is logged and Bhopal ownership remains unclear; ask for branch sponsor routing, not a broad pitch.</t>
        </is>
      </c>
      <c r="I220" s="190" t="inlineStr">
        <is>
          <t>2026-05-04</t>
        </is>
      </c>
      <c r="J220" s="190" t="inlineStr">
        <is>
          <t>Active</t>
        </is>
      </c>
      <c r="K220" s="190" t="inlineStr">
        <is>
          <t>Channel: chhajed_abhay@hotmail.com | Mobile 9009044477 | Contact: CA Abhay Kumar Chhajed | Central Council Member; Bhopal ex-officio route | Source: Current CIRC regional/central council page and CIRC ex-officio listing. | Decision_Gap: Bhopal ex-officio authority can unblock branch ownership if the ask stays on client decision-quality before capital moves, not generic awareness. | Tier A escalation because Bhopal route, direct public mobile/email, and Central Council role are explicit. | [2026-05-02 evening] Official CIRC ex-officio 2026-27 PDF confirms Bhopal ex-officio CA Abhay Chhajed-CCM; keep behind Bhopal chair/secretary follow-up. | [2026-05-02 overnight hygiene] CIRC regional/central council page reconfirms CA Abhay Kumar Chhajed, Central Council Member, Bhopal address, 9009044477, chhajed_abhay@hotmail.com; escalation only. | [2026-05-03 overnight verified-contact pass] Kept as Bhopal ex-officio escalation only. Direct route chhajed_abhay@hotmail.com / 9009044477 is useful if local chair-secretary path stalls; do not send before first-wave logging.</t>
        </is>
      </c>
      <c r="L220" t="inlineStr">
        <is>
          <t>Escalation Only; Verified Public Route; Tier A Guardrail</t>
        </is>
      </c>
    </row>
    <row r="221">
      <c r="A221" s="190" t="inlineStr">
        <is>
          <t>SCR-CA-043</t>
        </is>
      </c>
      <c r="B221" s="190" t="inlineStr">
        <is>
          <t>Anand Jain</t>
        </is>
      </c>
      <c r="C221" s="190" t="inlineStr">
        <is>
          <t>CIRC / Indore Regional Council Route</t>
        </is>
      </c>
      <c r="D221" s="190" t="inlineStr">
        <is>
          <t>CA</t>
        </is>
      </c>
      <c r="E221" s="190" t="inlineStr">
        <is>
          <t>B</t>
        </is>
      </c>
      <c r="F221" s="190" t="inlineStr">
        <is>
          <t>New</t>
        </is>
      </c>
      <c r="G221" s="190" t="n"/>
      <c r="H221" s="190" t="inlineStr">
        <is>
          <t>Hold Anand Jain as Indore regional support after local ownership checks; ask who owns member programming for validating client decisions before money moves.</t>
        </is>
      </c>
      <c r="I221" s="190" t="inlineStr">
        <is>
          <t>2026-05-04</t>
        </is>
      </c>
      <c r="J221" s="190" t="inlineStr">
        <is>
          <t>Active</t>
        </is>
      </c>
      <c r="K221" s="190" t="inlineStr">
        <is>
          <t>Channel: anandjain812@gmail.com | Mobile 8818800095 | Contact: CA Anand Jain | Regional Council Member, Indore | Source: Current CIRC regional/central council page and Indore ICAI torch-bearers page. | Decision_Gap: Regional Indore support is useful if branch ownership stalls; the conversation must stay about decision validation as member value. | Tier B support route behind local chair/secretary execution. | [2026-05-02 evening] Official CIRC ex-officio 2026-27 PDF confirms Indore support includes CA Anand Jain-RCM and member CICASA; keep behind local Indore route.</t>
        </is>
      </c>
    </row>
    <row r="222">
      <c r="A222" s="190" t="inlineStr">
        <is>
          <t>SCR-CA-044</t>
        </is>
      </c>
      <c r="B222" s="190" t="inlineStr">
        <is>
          <t>Pankaj Shah</t>
        </is>
      </c>
      <c r="C222" s="190" t="inlineStr">
        <is>
          <t>CIRC / Indore Central Council Route</t>
        </is>
      </c>
      <c r="D222" s="190" t="inlineStr">
        <is>
          <t>CA</t>
        </is>
      </c>
      <c r="E222" s="190" t="inlineStr">
        <is>
          <t>B</t>
        </is>
      </c>
      <c r="F222" s="190" t="inlineStr">
        <is>
          <t>New</t>
        </is>
      </c>
      <c r="G222" s="190" t="n"/>
      <c r="H222" s="190" t="inlineStr">
        <is>
          <t>Hold Pankaj Shah as Central Council escalation behind Indore chair/secretary and Anand Jain; use only if local ownership stalls or higher-authority routing is required.</t>
        </is>
      </c>
      <c r="I222" s="190" t="inlineStr">
        <is>
          <t>2026-05-04</t>
        </is>
      </c>
      <c r="J222" s="190" t="inlineStr">
        <is>
          <t>Active</t>
        </is>
      </c>
      <c r="K222" s="190" t="inlineStr">
        <is>
          <t>Channel: pankajgshah@gmail.com | Mobile 9691893040 | Contact: CA Pankaj Shah | Central Council Member, Indore | Source: Current CIRC regional/central council page and public ICAI committee profile. | Decision_Gap: Central Council route can validate regional relevance, but only after local branch contact proves the client-decision gap is concrete. | Tier B escalation route; do not bypass local trust sequence. | [2026-05-02 evening] Official CIRC ex-officio 2026-27 PDF confirms Indore support includes CA Pankaj Shah-CCM; use only after local ownership stalls.</t>
        </is>
      </c>
    </row>
    <row r="223">
      <c r="A223" t="inlineStr">
        <is>
          <t>WA-CA-001</t>
        </is>
      </c>
      <c r="B223" t="inlineStr">
        <is>
          <t>Rajesh Jain</t>
        </is>
      </c>
      <c r="C223" t="inlineStr">
        <is>
          <t>Jain &amp; Associates</t>
        </is>
      </c>
      <c r="D223" t="inlineStr">
        <is>
          <t>CA</t>
        </is>
      </c>
      <c r="E223" t="inlineStr">
        <is>
          <t>A</t>
        </is>
      </c>
      <c r="F223" t="inlineStr">
        <is>
          <t>Contacted</t>
        </is>
      </c>
      <c r="G223" t="inlineStr">
        <is>
          <t>2026-05-02</t>
        </is>
      </c>
      <c r="H223" t="inlineStr">
        <is>
          <t>Follow-up 1: send Process Audit variant; ask whether the process has a validation step or moves from analysis to action.</t>
        </is>
      </c>
      <c r="I223" t="inlineStr">
        <is>
          <t>2026-05-04</t>
        </is>
      </c>
      <c r="J223" t="inlineStr">
        <is>
          <t>Active</t>
        </is>
      </c>
      <c r="K223" t="inlineStr">
        <is>
          <t>Channel: WhatsApp 91-9820123456 | Email: rajesh.jain@jainassociates.in | Title: Chartered Accountant | City: Mumbai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3" t="inlineStr">
        <is>
          <t>Messaging Test Batch 1; Founder Circle Candidate; Founder Circle Day 1-3; Yearly Rs 4,899; No Cold Expansion; Follow-up 1; Monday Planning</t>
        </is>
      </c>
    </row>
    <row r="224">
      <c r="A224" t="inlineStr">
        <is>
          <t>WA-CA-002</t>
        </is>
      </c>
      <c r="B224" t="inlineStr">
        <is>
          <t>Priya Mehta</t>
        </is>
      </c>
      <c r="C224" t="inlineStr">
        <is>
          <t>Mehta Tax Consultants</t>
        </is>
      </c>
      <c r="D224" t="inlineStr">
        <is>
          <t>CA</t>
        </is>
      </c>
      <c r="E224" t="inlineStr">
        <is>
          <t>A</t>
        </is>
      </c>
      <c r="F224" t="inlineStr">
        <is>
          <t>Contacted</t>
        </is>
      </c>
      <c r="G224" t="inlineStr">
        <is>
          <t>2026-05-02</t>
        </is>
      </c>
      <c r="H224" t="inlineStr">
        <is>
          <t>Follow-up 1: send Process Audit variant; ask whether the process has a validation step or moves from analysis to action.</t>
        </is>
      </c>
      <c r="I224" t="inlineStr">
        <is>
          <t>2026-05-04</t>
        </is>
      </c>
      <c r="J224" t="inlineStr">
        <is>
          <t>Active</t>
        </is>
      </c>
      <c r="K224" t="inlineStr">
        <is>
          <t>Channel: WhatsApp 91-9810234567 | Email: priya.mehta@mehtatax.com | Title: Senior CA | City: Delhi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4" t="inlineStr">
        <is>
          <t>Messaging Test Batch 1; Founder Circle Candidate; Founder Circle Day 1-3; Yearly Rs 4,899; No Cold Expansion; Follow-up 1; Monday Planning</t>
        </is>
      </c>
    </row>
    <row r="225">
      <c r="A225" t="inlineStr">
        <is>
          <t>WA-CA-003</t>
        </is>
      </c>
      <c r="B225" t="inlineStr">
        <is>
          <t>Suresh Kumar</t>
        </is>
      </c>
      <c r="C225" t="inlineStr">
        <is>
          <t>SKR Partners</t>
        </is>
      </c>
      <c r="D225" t="inlineStr">
        <is>
          <t>CA</t>
        </is>
      </c>
      <c r="E225" t="inlineStr">
        <is>
          <t>A</t>
        </is>
      </c>
      <c r="F225" t="inlineStr">
        <is>
          <t>Contacted</t>
        </is>
      </c>
      <c r="G225" t="inlineStr">
        <is>
          <t>2026-05-02</t>
        </is>
      </c>
      <c r="H225" t="inlineStr">
        <is>
          <t>Follow-up 1: send Process Audit variant; ask whether the process has a validation step or moves from analysis to action.</t>
        </is>
      </c>
      <c r="I225" t="inlineStr">
        <is>
          <t>2026-05-04</t>
        </is>
      </c>
      <c r="J225" t="inlineStr">
        <is>
          <t>Active</t>
        </is>
      </c>
      <c r="K225" t="inlineStr">
        <is>
          <t>Channel: WhatsApp 91-9845678901 | Email: suresh@skrpartners.co.in | Title: Practicing CA | City: Bangalore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5" t="inlineStr">
        <is>
          <t>Messaging Test Batch 1; Founder Circle Candidate; Founder Circle Day 1-3; Yearly Rs 4,899; No Cold Expansion; Follow-up 1; Monday Planning</t>
        </is>
      </c>
    </row>
    <row r="226">
      <c r="A226" t="inlineStr">
        <is>
          <t>WA-CA-004</t>
        </is>
      </c>
      <c r="B226" t="inlineStr">
        <is>
          <t>Ankita Shah</t>
        </is>
      </c>
      <c r="C226" t="inlineStr">
        <is>
          <t>Shah Financial Services</t>
        </is>
      </c>
      <c r="D226" t="inlineStr">
        <is>
          <t>CA</t>
        </is>
      </c>
      <c r="E226" t="inlineStr">
        <is>
          <t>A</t>
        </is>
      </c>
      <c r="F226" t="inlineStr">
        <is>
          <t>Contacted</t>
        </is>
      </c>
      <c r="G226" t="inlineStr">
        <is>
          <t>2026-05-02</t>
        </is>
      </c>
      <c r="H226" t="inlineStr">
        <is>
          <t>Follow-up 1: send Process Audit variant; ask whether the process has a validation step or moves from analysis to action.</t>
        </is>
      </c>
      <c r="I226" t="inlineStr">
        <is>
          <t>2026-05-04</t>
        </is>
      </c>
      <c r="J226" t="inlineStr">
        <is>
          <t>Active</t>
        </is>
      </c>
      <c r="K226" t="inlineStr">
        <is>
          <t>Channel: WhatsApp 91-9824567890 | Email: ankita.shah@shahfinancial.in | Title: CA - FCA | City: Ahmedabad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6" t="inlineStr">
        <is>
          <t>Messaging Test Batch 1; Founder Circle Candidate; Founder Circle Day 1-3; Yearly Rs 4,899; No Cold Expansion; Follow-up 1; Monday Planning</t>
        </is>
      </c>
    </row>
    <row r="227">
      <c r="A227" t="inlineStr">
        <is>
          <t>WA-CA-005</t>
        </is>
      </c>
      <c r="B227" t="inlineStr">
        <is>
          <t>Vivek Nair</t>
        </is>
      </c>
      <c r="C227" t="inlineStr">
        <is>
          <t>Nair &amp; Co. Chartered Accountants</t>
        </is>
      </c>
      <c r="D227" t="inlineStr">
        <is>
          <t>CA</t>
        </is>
      </c>
      <c r="E227" t="inlineStr">
        <is>
          <t>A</t>
        </is>
      </c>
      <c r="F227" t="inlineStr">
        <is>
          <t>Contacted</t>
        </is>
      </c>
      <c r="G227" t="inlineStr">
        <is>
          <t>2026-05-02</t>
        </is>
      </c>
      <c r="H227" t="inlineStr">
        <is>
          <t>Follow-up 1: send Process Audit variant; ask whether the process has a validation step or moves from analysis to action.</t>
        </is>
      </c>
      <c r="I227" t="inlineStr">
        <is>
          <t>2026-05-04</t>
        </is>
      </c>
      <c r="J227" t="inlineStr">
        <is>
          <t>Active</t>
        </is>
      </c>
      <c r="K227" t="inlineStr">
        <is>
          <t>Channel: WhatsApp 91-9841234567 | Email: vivek@nairandco.in | Title: Senior Partner | City: Chennai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7" t="inlineStr">
        <is>
          <t>Messaging Test Batch 1; Founder Circle Candidate; Founder Circle Day 1-3; Yearly Rs 4,899; No Cold Expansion; Follow-up 1; Monday Planning</t>
        </is>
      </c>
    </row>
    <row r="228">
      <c r="A228" t="inlineStr">
        <is>
          <t>WA-CA-006</t>
        </is>
      </c>
      <c r="B228" t="inlineStr">
        <is>
          <t>Deepa Verma</t>
        </is>
      </c>
      <c r="C228" t="inlineStr">
        <is>
          <t>Verma Tax Advisory</t>
        </is>
      </c>
      <c r="D228" t="inlineStr">
        <is>
          <t>CA</t>
        </is>
      </c>
      <c r="E228" t="inlineStr">
        <is>
          <t>A</t>
        </is>
      </c>
      <c r="F228" t="inlineStr">
        <is>
          <t>Contacted</t>
        </is>
      </c>
      <c r="G228" t="inlineStr">
        <is>
          <t>2026-05-02</t>
        </is>
      </c>
      <c r="H228" t="inlineStr">
        <is>
          <t>Follow-up 1: send Process Audit variant; ask whether the process has a validation step or moves from analysis to action.</t>
        </is>
      </c>
      <c r="I228" t="inlineStr">
        <is>
          <t>2026-05-04</t>
        </is>
      </c>
      <c r="J228" t="inlineStr">
        <is>
          <t>Active</t>
        </is>
      </c>
      <c r="K228" t="inlineStr">
        <is>
          <t>Channel: WhatsApp 91-9823456789 | Email: deepa.verma@vermatax.in | Title: CA - DISA | City: Pune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8" t="inlineStr">
        <is>
          <t>Messaging Test Batch 1; Founder Circle Candidate; Founder Circle Day 1-3; Yearly Rs 4,899; No Cold Expansion; Follow-up 1; Monday Planning</t>
        </is>
      </c>
    </row>
    <row r="229">
      <c r="A229" t="inlineStr">
        <is>
          <t>WA-CA-007</t>
        </is>
      </c>
      <c r="B229" t="inlineStr">
        <is>
          <t>Arun Gupta</t>
        </is>
      </c>
      <c r="C229" t="inlineStr">
        <is>
          <t>Gupta &amp; Associates</t>
        </is>
      </c>
      <c r="D229" t="inlineStr">
        <is>
          <t>Business</t>
        </is>
      </c>
      <c r="E229" t="inlineStr">
        <is>
          <t>B</t>
        </is>
      </c>
      <c r="F229" t="inlineStr">
        <is>
          <t>Contacted</t>
        </is>
      </c>
      <c r="G229" t="inlineStr">
        <is>
          <t>2026-05-02</t>
        </is>
      </c>
      <c r="H229" t="inlineStr">
        <is>
          <t>Follow-up 1 via WhatsApp if no reply</t>
        </is>
      </c>
      <c r="I229" t="inlineStr">
        <is>
          <t>2026-05-04</t>
        </is>
      </c>
      <c r="J229" t="inlineStr">
        <is>
          <t>Active</t>
        </is>
      </c>
      <c r="K229" t="inlineStr">
        <is>
          <t>Channel: WhatsApp 91-9848901234 | Email: arun.gupta@guptaassoc.in | Title: Managing Partner | City: Hyderabad | Source: User screenshot WhatsApp batch | Decision_Gap: Lead has been touched through WhatsApp; next conversation must reconstruct last wrong financial or business decision before positioning Fnomo. | [2026-05-02] WhatsApp contacted via user screenshot batch</t>
        </is>
      </c>
    </row>
    <row r="230">
      <c r="A230" t="inlineStr">
        <is>
          <t>WA-CA-008</t>
        </is>
      </c>
      <c r="B230" t="inlineStr">
        <is>
          <t>Meera Krishnan</t>
        </is>
      </c>
      <c r="C230" t="inlineStr">
        <is>
          <t>MK Financial Advisors</t>
        </is>
      </c>
      <c r="D230" t="inlineStr">
        <is>
          <t>CA</t>
        </is>
      </c>
      <c r="E230" t="inlineStr">
        <is>
          <t>A</t>
        </is>
      </c>
      <c r="F230" t="inlineStr">
        <is>
          <t>Contacted</t>
        </is>
      </c>
      <c r="G230" t="inlineStr">
        <is>
          <t>2026-05-02</t>
        </is>
      </c>
      <c r="H230" t="inlineStr">
        <is>
          <t>Follow-up 1: send Process Audit variant; ask whether the process has a validation step or moves from analysis to action.</t>
        </is>
      </c>
      <c r="I230" t="inlineStr">
        <is>
          <t>2026-05-04</t>
        </is>
      </c>
      <c r="J230" t="inlineStr">
        <is>
          <t>Active</t>
        </is>
      </c>
      <c r="K230" t="inlineStr">
        <is>
          <t>Channel: WhatsApp 91-9846789012 | Email: meera@mkfinancial.in | Title: Chartered Accountant | City: Kochi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0" t="inlineStr">
        <is>
          <t>Messaging Test Batch 1; Founder Circle Candidate; Founder Circle Day 1-3; Yearly Rs 4,899; No Cold Expansion; Follow-up 1; Monday Planning</t>
        </is>
      </c>
    </row>
    <row r="231">
      <c r="A231" t="inlineStr">
        <is>
          <t>WA-CA-009</t>
        </is>
      </c>
      <c r="B231" t="inlineStr">
        <is>
          <t>Ravi Shankar</t>
        </is>
      </c>
      <c r="C231" t="inlineStr">
        <is>
          <t>RS Chartered Accountants</t>
        </is>
      </c>
      <c r="D231" t="inlineStr">
        <is>
          <t>CA</t>
        </is>
      </c>
      <c r="E231" t="inlineStr">
        <is>
          <t>A</t>
        </is>
      </c>
      <c r="F231" t="inlineStr">
        <is>
          <t>Contacted</t>
        </is>
      </c>
      <c r="G231" t="inlineStr">
        <is>
          <t>2026-05-02</t>
        </is>
      </c>
      <c r="H231" t="inlineStr">
        <is>
          <t>Follow-up 1: send Process Audit variant; ask whether the process has a validation step or moves from analysis to action.</t>
        </is>
      </c>
      <c r="I231" t="inlineStr">
        <is>
          <t>2026-05-04</t>
        </is>
      </c>
      <c r="J231" t="inlineStr">
        <is>
          <t>Active</t>
        </is>
      </c>
      <c r="K231" t="inlineStr">
        <is>
          <t>Channel: WhatsApp 91-9829012345 | Email: ravi.shankar@rscharteredCA.in | Title: CA Partner | City: Jaipur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1" t="inlineStr">
        <is>
          <t>Messaging Test Batch 1; Founder Circle Candidate; Founder Circle Day 1-3; Yearly Rs 4,899; No Cold Expansion; Follow-up 1; Monday Planning</t>
        </is>
      </c>
    </row>
    <row r="232">
      <c r="A232" t="inlineStr">
        <is>
          <t>WA-CA-010</t>
        </is>
      </c>
      <c r="B232" t="inlineStr">
        <is>
          <t>Nisha Patel</t>
        </is>
      </c>
      <c r="C232" t="inlineStr">
        <is>
          <t>NP Tax Solutions</t>
        </is>
      </c>
      <c r="D232" t="inlineStr">
        <is>
          <t>CA</t>
        </is>
      </c>
      <c r="E232" t="inlineStr">
        <is>
          <t>A</t>
        </is>
      </c>
      <c r="F232" t="inlineStr">
        <is>
          <t>Contacted</t>
        </is>
      </c>
      <c r="G232" t="inlineStr">
        <is>
          <t>2026-05-02</t>
        </is>
      </c>
      <c r="H232" t="inlineStr">
        <is>
          <t>Follow-up 1: send Process Audit variant; ask whether the process has a validation step or moves from analysis to action.</t>
        </is>
      </c>
      <c r="I232" t="inlineStr">
        <is>
          <t>2026-05-04</t>
        </is>
      </c>
      <c r="J232" t="inlineStr">
        <is>
          <t>Active</t>
        </is>
      </c>
      <c r="K232" t="inlineStr">
        <is>
          <t>Channel: WhatsApp 91-9825678901 | Email: nisha.patel@nptaxsolutions.com | Title: Senior CA | City: Surat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2" t="inlineStr">
        <is>
          <t>Messaging Test Batch 1; Founder Circle Candidate; Founder Circle Day 1-3; Yearly Rs 4,899; No Cold Expansion; Follow-up 1; Monday Planning</t>
        </is>
      </c>
    </row>
    <row r="233">
      <c r="A233" t="inlineStr">
        <is>
          <t>WA-BIZ-001</t>
        </is>
      </c>
      <c r="B233" t="inlineStr">
        <is>
          <t>Ramesh Agarwal</t>
        </is>
      </c>
      <c r="C233" t="inlineStr">
        <is>
          <t>Agarwal Traders Pvt Ltd</t>
        </is>
      </c>
      <c r="D233" t="inlineStr">
        <is>
          <t>Business</t>
        </is>
      </c>
      <c r="E233" t="inlineStr">
        <is>
          <t>B</t>
        </is>
      </c>
      <c r="F233" t="inlineStr">
        <is>
          <t>Contacted</t>
        </is>
      </c>
      <c r="G233" t="inlineStr">
        <is>
          <t>2026-05-02</t>
        </is>
      </c>
      <c r="H233" t="inlineStr">
        <is>
          <t>Follow-up 1 via WhatsApp if no reply</t>
        </is>
      </c>
      <c r="I233" t="inlineStr">
        <is>
          <t>2026-05-04</t>
        </is>
      </c>
      <c r="J233" t="inlineStr">
        <is>
          <t>Active</t>
        </is>
      </c>
      <c r="K233" t="inlineStr">
        <is>
          <t>Channel: WhatsApp 91-9826789012 | Email: ramesh@agarwaltraders.in | Title: Director | City: Indore | Source: User screenshot WhatsApp batch | Decision_Gap: Lead has been touched through WhatsApp; next conversation must reconstruct last wrong financial or business decision before positioning Fnomo. | [2026-05-02] WhatsApp contacted via user screenshot batch</t>
        </is>
      </c>
    </row>
    <row r="234">
      <c r="A234" t="inlineStr">
        <is>
          <t>WA-BIZ-002</t>
        </is>
      </c>
      <c r="B234" t="inlineStr">
        <is>
          <t>Hiren Shah</t>
        </is>
      </c>
      <c r="C234" t="inlineStr">
        <is>
          <t>Shah Electronics Pvt Ltd</t>
        </is>
      </c>
      <c r="D234" t="inlineStr">
        <is>
          <t>Business</t>
        </is>
      </c>
      <c r="E234" t="inlineStr">
        <is>
          <t>B</t>
        </is>
      </c>
      <c r="F234" t="inlineStr">
        <is>
          <t>Contacted</t>
        </is>
      </c>
      <c r="G234" t="inlineStr">
        <is>
          <t>2026-05-02</t>
        </is>
      </c>
      <c r="H234" t="inlineStr">
        <is>
          <t>Follow-up 1 via WhatsApp if no reply</t>
        </is>
      </c>
      <c r="I234" t="inlineStr">
        <is>
          <t>2026-05-04</t>
        </is>
      </c>
      <c r="J234" t="inlineStr">
        <is>
          <t>Active</t>
        </is>
      </c>
      <c r="K234" t="inlineStr">
        <is>
          <t>Channel: WhatsApp 91-9824123456 | Email: hiren.shah@shahelectronics.in | Title: Managing Director | City: Rajkot | Source: User screenshot WhatsApp batch | Decision_Gap: Lead has been touched through WhatsApp; next conversation must reconstruct last wrong financial or business decision before positioning Fnomo. | [2026-05-02] WhatsApp contacted via user screenshot batch</t>
        </is>
      </c>
    </row>
    <row r="235">
      <c r="A235" t="inlineStr">
        <is>
          <t>WA-BIZ-003</t>
        </is>
      </c>
      <c r="B235" t="inlineStr">
        <is>
          <t>Kavita Singh</t>
        </is>
      </c>
      <c r="C235" t="inlineStr">
        <is>
          <t>KS Logistics Solutions</t>
        </is>
      </c>
      <c r="D235" t="inlineStr">
        <is>
          <t>Business</t>
        </is>
      </c>
      <c r="E235" t="inlineStr">
        <is>
          <t>B</t>
        </is>
      </c>
      <c r="F235" t="inlineStr">
        <is>
          <t>Contacted</t>
        </is>
      </c>
      <c r="G235" t="inlineStr">
        <is>
          <t>2026-05-02</t>
        </is>
      </c>
      <c r="H235" t="inlineStr">
        <is>
          <t>Follow-up 1 via WhatsApp if no reply</t>
        </is>
      </c>
      <c r="I235" t="inlineStr">
        <is>
          <t>2026-05-04</t>
        </is>
      </c>
      <c r="J235" t="inlineStr">
        <is>
          <t>Active</t>
        </is>
      </c>
      <c r="K235" t="inlineStr">
        <is>
          <t>Channel: WhatsApp 91-9823901234 | Email: kavita@kslogistics.in | Title: CEO | City: Nagpur | Source: User screenshot WhatsApp batch | Decision_Gap: Lead has been touched through WhatsApp; next conversation must reconstruct last wrong financial or business decision before positioning Fnomo. | [2026-05-02] WhatsApp contacted via user screenshot batch</t>
        </is>
      </c>
    </row>
    <row r="236">
      <c r="A236" t="inlineStr">
        <is>
          <t>WA-BIZ-004</t>
        </is>
      </c>
      <c r="B236" t="inlineStr">
        <is>
          <t>Prakash Reddy</t>
        </is>
      </c>
      <c r="C236" t="inlineStr">
        <is>
          <t>Reddy Agro Exports</t>
        </is>
      </c>
      <c r="D236" t="inlineStr">
        <is>
          <t>Business</t>
        </is>
      </c>
      <c r="E236" t="inlineStr">
        <is>
          <t>B</t>
        </is>
      </c>
      <c r="F236" t="inlineStr">
        <is>
          <t>Contacted</t>
        </is>
      </c>
      <c r="G236" t="inlineStr">
        <is>
          <t>2026-05-02</t>
        </is>
      </c>
      <c r="H236" t="inlineStr">
        <is>
          <t>Follow-up 1 via WhatsApp if no reply</t>
        </is>
      </c>
      <c r="I236" t="inlineStr">
        <is>
          <t>2026-05-04</t>
        </is>
      </c>
      <c r="J236" t="inlineStr">
        <is>
          <t>Active</t>
        </is>
      </c>
      <c r="K236" t="inlineStr">
        <is>
          <t>Channel: WhatsApp 91-9848234567 | Email: prakash@reddyagroexports.com | Title: Founder | City: Vijayawada | Source: User screenshot WhatsApp batch | Decision_Gap: Lead has been touched through WhatsApp; next conversation must reconstruct last wrong financial or business decision before positioning Fnomo. | [2026-05-02] WhatsApp contacted via user screenshot batch</t>
        </is>
      </c>
    </row>
    <row r="237">
      <c r="A237" t="inlineStr">
        <is>
          <t>WA-BIZ-005</t>
        </is>
      </c>
      <c r="B237" t="inlineStr">
        <is>
          <t>Sunita Joshi</t>
        </is>
      </c>
      <c r="C237" t="inlineStr">
        <is>
          <t>Joshi Pharmaceuticals</t>
        </is>
      </c>
      <c r="D237" t="inlineStr">
        <is>
          <t>CA</t>
        </is>
      </c>
      <c r="E237" t="inlineStr">
        <is>
          <t>A</t>
        </is>
      </c>
      <c r="F237" t="inlineStr">
        <is>
          <t>Contacted</t>
        </is>
      </c>
      <c r="G237" t="inlineStr">
        <is>
          <t>2026-05-02</t>
        </is>
      </c>
      <c r="H237" t="inlineStr">
        <is>
          <t>Follow-up 1: send Process Audit variant; ask whether the process has a validation step or moves from analysis to action.</t>
        </is>
      </c>
      <c r="I237" t="inlineStr">
        <is>
          <t>2026-05-04</t>
        </is>
      </c>
      <c r="J237" t="inlineStr">
        <is>
          <t>Active</t>
        </is>
      </c>
      <c r="K237" t="inlineStr">
        <is>
          <t>Channel: WhatsApp 91-9821345678 | Email: sunita@joshipharma.in | Title: Proprietor | City: Nashik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7" t="inlineStr">
        <is>
          <t>Messaging Test Batch 1; Founder Circle Candidate; Founder Circle Day 1-3; Yearly Rs 4,899; No Cold Expansion; Follow-up 1; Monday Planning</t>
        </is>
      </c>
    </row>
    <row r="238">
      <c r="A238" t="inlineStr">
        <is>
          <t>WA-BIZ-006</t>
        </is>
      </c>
      <c r="B238" t="inlineStr">
        <is>
          <t>Ashok Tiwari</t>
        </is>
      </c>
      <c r="C238" t="inlineStr">
        <is>
          <t>Tiwari Construction Group</t>
        </is>
      </c>
      <c r="D238" t="inlineStr">
        <is>
          <t>Business</t>
        </is>
      </c>
      <c r="E238" t="inlineStr">
        <is>
          <t>B</t>
        </is>
      </c>
      <c r="F238" t="inlineStr">
        <is>
          <t>Contacted</t>
        </is>
      </c>
      <c r="G238" t="inlineStr">
        <is>
          <t>2026-05-02</t>
        </is>
      </c>
      <c r="H238" t="inlineStr">
        <is>
          <t>Follow-up 1 via WhatsApp if no reply</t>
        </is>
      </c>
      <c r="I238" t="inlineStr">
        <is>
          <t>2026-05-04</t>
        </is>
      </c>
      <c r="J238" t="inlineStr">
        <is>
          <t>Active</t>
        </is>
      </c>
      <c r="K238" t="inlineStr">
        <is>
          <t>Channel: WhatsApp 91-9827890123 | Email: ashok.tiwari@tiwariconstructions.in | Title: Managing Partner | City: Bhopal | Source: User screenshot WhatsApp batch | Decision_Gap: Lead has been touched through WhatsApp; next conversation must reconstruct last wrong financial or business decision before positioning Fnomo. | [2026-05-02] WhatsApp contacted via user screenshot batch</t>
        </is>
      </c>
    </row>
    <row r="239">
      <c r="A239" t="inlineStr">
        <is>
          <t>WA-BIZ-007</t>
        </is>
      </c>
      <c r="B239" t="inlineStr">
        <is>
          <t>Fatima Merchant</t>
        </is>
      </c>
      <c r="C239" t="inlineStr">
        <is>
          <t>Merchant Textiles Ltd</t>
        </is>
      </c>
      <c r="D239" t="inlineStr">
        <is>
          <t>Business</t>
        </is>
      </c>
      <c r="E239" t="inlineStr">
        <is>
          <t>B</t>
        </is>
      </c>
      <c r="F239" t="inlineStr">
        <is>
          <t>Contacted</t>
        </is>
      </c>
      <c r="G239" t="inlineStr">
        <is>
          <t>2026-05-02</t>
        </is>
      </c>
      <c r="H239" t="inlineStr">
        <is>
          <t>Follow-up 1 via WhatsApp if no reply</t>
        </is>
      </c>
      <c r="I239" t="inlineStr">
        <is>
          <t>2026-05-04</t>
        </is>
      </c>
      <c r="J239" t="inlineStr">
        <is>
          <t>Active</t>
        </is>
      </c>
      <c r="K239" t="inlineStr">
        <is>
          <t>Channel: WhatsApp 91-9825901234 | Email: fatima@merchanttextiles.in | Title: Director | City: Surat | Source: User screenshot WhatsApp batch | Decision_Gap: Lead has been touched through WhatsApp; next conversation must reconstruct last wrong financial or business decision before positioning Fnomo. | [2026-05-02] WhatsApp contacted via user screenshot batch</t>
        </is>
      </c>
    </row>
    <row r="240">
      <c r="A240" t="inlineStr">
        <is>
          <t>WA-BIZ-008</t>
        </is>
      </c>
      <c r="B240" t="inlineStr">
        <is>
          <t>Kiran Babu</t>
        </is>
      </c>
      <c r="C240" t="inlineStr">
        <is>
          <t>Babu Industries Ltd</t>
        </is>
      </c>
      <c r="D240" t="inlineStr">
        <is>
          <t>Business</t>
        </is>
      </c>
      <c r="E240" t="inlineStr">
        <is>
          <t>B</t>
        </is>
      </c>
      <c r="F240" t="inlineStr">
        <is>
          <t>Contacted</t>
        </is>
      </c>
      <c r="G240" t="inlineStr">
        <is>
          <t>2026-05-02</t>
        </is>
      </c>
      <c r="H240" t="inlineStr">
        <is>
          <t>Follow-up 1 via WhatsApp if no reply</t>
        </is>
      </c>
      <c r="I240" t="inlineStr">
        <is>
          <t>2026-05-04</t>
        </is>
      </c>
      <c r="J240" t="inlineStr">
        <is>
          <t>Active</t>
        </is>
      </c>
      <c r="K240" t="inlineStr">
        <is>
          <t>Channel: WhatsApp 91-9843567890 | Email: kiran.babu@babuindustries.in | Title: Chairman | City: Coimbatore | Source: User screenshot WhatsApp batch | Decision_Gap: Lead has been touched through WhatsApp; next conversation must reconstruct last wrong financial or business decision before positioning Fnomo. | [2026-05-02] WhatsApp contacted via user screenshot batch</t>
        </is>
      </c>
    </row>
    <row r="241">
      <c r="A241" t="inlineStr">
        <is>
          <t>WA-BIZ-009</t>
        </is>
      </c>
      <c r="B241" t="inlineStr">
        <is>
          <t>Manish Khanna</t>
        </is>
      </c>
      <c r="C241" t="inlineStr">
        <is>
          <t>Khanna Real Estate Developers</t>
        </is>
      </c>
      <c r="D241" t="inlineStr">
        <is>
          <t>Business</t>
        </is>
      </c>
      <c r="E241" t="inlineStr">
        <is>
          <t>B</t>
        </is>
      </c>
      <c r="F241" t="inlineStr">
        <is>
          <t>Contacted</t>
        </is>
      </c>
      <c r="G241" t="inlineStr">
        <is>
          <t>2026-05-02</t>
        </is>
      </c>
      <c r="H241" t="inlineStr">
        <is>
          <t>Follow-up 1 via WhatsApp if no reply</t>
        </is>
      </c>
      <c r="I241" t="inlineStr">
        <is>
          <t>2026-05-04</t>
        </is>
      </c>
      <c r="J241" t="inlineStr">
        <is>
          <t>Active</t>
        </is>
      </c>
      <c r="K241" t="inlineStr">
        <is>
          <t>Channel: WhatsApp 91-9814678901 | Email: manish@khannaestates.in | Title: Founder &amp; CEO | City: Chandigarh | Source: User screenshot WhatsApp batch | Decision_Gap: Lead has been touched through WhatsApp; next conversation must reconstruct last wrong financial or business decision before positioning Fnomo. | [2026-05-02] WhatsApp contacted via user screenshot batch</t>
        </is>
      </c>
    </row>
    <row r="242">
      <c r="A242" t="inlineStr">
        <is>
          <t>WA-BIZ-010</t>
        </is>
      </c>
      <c r="B242" t="inlineStr">
        <is>
          <t>Geeta Pandey</t>
        </is>
      </c>
      <c r="C242" t="inlineStr">
        <is>
          <t>Pandey Food Processing</t>
        </is>
      </c>
      <c r="D242" t="inlineStr">
        <is>
          <t>Business</t>
        </is>
      </c>
      <c r="E242" t="inlineStr">
        <is>
          <t>B</t>
        </is>
      </c>
      <c r="F242" t="inlineStr">
        <is>
          <t>Contacted</t>
        </is>
      </c>
      <c r="G242" t="inlineStr">
        <is>
          <t>2026-05-02</t>
        </is>
      </c>
      <c r="H242" t="inlineStr">
        <is>
          <t>Follow-up 1 via WhatsApp if no reply</t>
        </is>
      </c>
      <c r="I242" t="inlineStr">
        <is>
          <t>2026-05-04</t>
        </is>
      </c>
      <c r="J242" t="inlineStr">
        <is>
          <t>Active</t>
        </is>
      </c>
      <c r="K242" t="inlineStr">
        <is>
          <t>Channel: WhatsApp 91-9812345678 | Email: geeta.pandey@pandeyfoods.in | Title: Director | City: Lucknow | Source: User screenshot WhatsApp batch | Decision_Gap: Lead has been touched through WhatsApp; next conversation must reconstruct last wrong financial or business decision before positioning Fnomo. | [2026-05-02] WhatsApp contacted via user screenshot batch</t>
        </is>
      </c>
    </row>
    <row r="243">
      <c r="A243" t="inlineStr">
        <is>
          <t>PLAT-001</t>
        </is>
      </c>
      <c r="B243" t="inlineStr">
        <is>
          <t>Ujwal Kumar</t>
        </is>
      </c>
      <c r="C243" t="inlineStr">
        <is>
          <t>Zomato</t>
        </is>
      </c>
      <c r="D243" t="inlineStr">
        <is>
          <t>Association</t>
        </is>
      </c>
      <c r="E243" t="inlineStr">
        <is>
          <t>B</t>
        </is>
      </c>
      <c r="F243" t="inlineStr">
        <is>
          <t>New</t>
        </is>
      </c>
      <c r="H243" t="inlineStr">
        <is>
          <t>Send first platform partnership outreach</t>
        </is>
      </c>
      <c r="I243" t="inlineStr">
        <is>
          <t>2026-05-04</t>
        </is>
      </c>
      <c r="J243" t="inlineStr">
        <is>
          <t>Active</t>
        </is>
      </c>
      <c r="K243" t="inlineStr">
        <is>
          <t>Source: platform partnership outreach table | SheetStatus: Not Contacted | LinkedIn: linkedin.com/in/ACoAAAdGMZsBVa_ZxjzuRnsaZZG1yQY0jeo-tL4 | Company LinkedIn: linkedin.com/company/zomato | Website: zomato.com | Email: missing | Mobile: missing | [2026-05-02] Platform partnership source row refreshed | [2026-05-03 Sunday planning rule] Sunday is planning-only; moved execution due action to 2026-05-04.</t>
        </is>
      </c>
    </row>
    <row r="244">
      <c r="A244" t="inlineStr">
        <is>
          <t>PLAT-002</t>
        </is>
      </c>
      <c r="B244" t="inlineStr">
        <is>
          <t>Seetesh Srivastava</t>
        </is>
      </c>
      <c r="C244" t="inlineStr">
        <is>
          <t>Blinkit</t>
        </is>
      </c>
      <c r="D244" t="inlineStr">
        <is>
          <t>Association</t>
        </is>
      </c>
      <c r="E244" t="inlineStr">
        <is>
          <t>B</t>
        </is>
      </c>
      <c r="F244" t="inlineStr">
        <is>
          <t>New</t>
        </is>
      </c>
      <c r="H244" t="inlineStr">
        <is>
          <t>Send first platform partnership outreach</t>
        </is>
      </c>
      <c r="I244" t="inlineStr">
        <is>
          <t>2026-05-04</t>
        </is>
      </c>
      <c r="J244" t="inlineStr">
        <is>
          <t>Active</t>
        </is>
      </c>
      <c r="K244" t="inlineStr">
        <is>
          <t>Source: platform partnership outreach table | SheetStatus: Not Contacted | LinkedIn: linkedin.com/in/ACoAAAKGUaAB2gcDBsF6wutpfzsqg57BQ0KtKWQ | Company LinkedIn: linkedin.com/company/letsblinkit | Website: blinkit.com | Email: missing | Mobile: missing | [2026-05-02] Platform partnership source row refreshed | [2026-05-03 Sunday planning rule] Sunday is planning-only; moved execution due action to 2026-05-04.</t>
        </is>
      </c>
    </row>
    <row r="245">
      <c r="A245" t="inlineStr">
        <is>
          <t>PLAT-003</t>
        </is>
      </c>
      <c r="B245" t="inlineStr">
        <is>
          <t>Rishabh Pandey</t>
        </is>
      </c>
      <c r="C245" t="inlineStr">
        <is>
          <t>Blinkit</t>
        </is>
      </c>
      <c r="D245" t="inlineStr">
        <is>
          <t>Association</t>
        </is>
      </c>
      <c r="E245" t="inlineStr">
        <is>
          <t>B</t>
        </is>
      </c>
      <c r="F245" t="inlineStr">
        <is>
          <t>New</t>
        </is>
      </c>
      <c r="H245" t="inlineStr">
        <is>
          <t>Send first platform partnership outreach</t>
        </is>
      </c>
      <c r="I245" t="inlineStr">
        <is>
          <t>2026-05-04</t>
        </is>
      </c>
      <c r="J245" t="inlineStr">
        <is>
          <t>Active</t>
        </is>
      </c>
      <c r="K245" t="inlineStr">
        <is>
          <t>Source: platform partnership outreach table | SheetStatus: Not Contacted | LinkedIn: linkedin.com/in/ACoAAAGtJgYBzg2y-xJdFVmcSEWHIUJufv-gAYY | Company LinkedIn: linkedin.com/company/letsblinkit | Website: blinkit.com | Email: missing | Mobile: 919953894326 | [2026-05-02] Platform partnership source row refreshed | [2026-05-03 Sunday planning rule] Sunday is planning-only; moved execution due action to 2026-05-04.</t>
        </is>
      </c>
    </row>
    <row r="246">
      <c r="A246" t="inlineStr">
        <is>
          <t>PLAT-004</t>
        </is>
      </c>
      <c r="B246" t="inlineStr">
        <is>
          <t>Samir Mohammed</t>
        </is>
      </c>
      <c r="C246" t="inlineStr">
        <is>
          <t>Nobroker</t>
        </is>
      </c>
      <c r="D246" t="inlineStr">
        <is>
          <t>Association</t>
        </is>
      </c>
      <c r="E246" t="inlineStr">
        <is>
          <t>B</t>
        </is>
      </c>
      <c r="F246" t="inlineStr">
        <is>
          <t>Contacted</t>
        </is>
      </c>
      <c r="G246" t="inlineStr">
        <is>
          <t>2026-05-02</t>
        </is>
      </c>
      <c r="H246" t="inlineStr">
        <is>
          <t>Follow-up 1 for platform partnership outreach if no reply</t>
        </is>
      </c>
      <c r="I246" t="inlineStr">
        <is>
          <t>2026-05-04</t>
        </is>
      </c>
      <c r="J246" t="inlineStr">
        <is>
          <t>Active</t>
        </is>
      </c>
      <c r="K246" t="inlineStr">
        <is>
          <t>Source: platform partnership outreach table | SheetStatus: Contacted | LinkedIn: linkedin.com/in/ACoAAC4vLwMBkqcxQ9uGx-QoOoyG_nfu9UFJGiE | Company LinkedIn: linkedin.com/company/nobroker-in | Website: nobroker.in | Email: samir.mohammed@nobroker.in | Mobile: 971 50 125 7753 | [2026-05-02] Platform partnership source row refreshed</t>
        </is>
      </c>
    </row>
    <row r="247">
      <c r="A247" t="inlineStr">
        <is>
          <t>PLAT-005</t>
        </is>
      </c>
      <c r="B247" t="inlineStr">
        <is>
          <t>Kayshel Ophelia Fernandes</t>
        </is>
      </c>
      <c r="C247" t="inlineStr">
        <is>
          <t>Practo</t>
        </is>
      </c>
      <c r="D247" t="inlineStr">
        <is>
          <t>Association</t>
        </is>
      </c>
      <c r="E247" t="inlineStr">
        <is>
          <t>B</t>
        </is>
      </c>
      <c r="F247" t="inlineStr">
        <is>
          <t>Contacted</t>
        </is>
      </c>
      <c r="G247" t="inlineStr">
        <is>
          <t>2026-05-02</t>
        </is>
      </c>
      <c r="H247" t="inlineStr">
        <is>
          <t>Follow-up 1 for platform partnership outreach if no reply</t>
        </is>
      </c>
      <c r="I247" t="inlineStr">
        <is>
          <t>2026-05-04</t>
        </is>
      </c>
      <c r="J247" t="inlineStr">
        <is>
          <t>Active</t>
        </is>
      </c>
      <c r="K247" t="inlineStr">
        <is>
          <t>Source: platform partnership outreach table | SheetStatus: Contacted | LinkedIn: linkedin.com/in/ACoAAAuddjABEIHn3elPpO5RwhKvT2vYx67Z_yQ | Company LinkedIn: linkedin.com/company/practo-technologies-pvt-ltd | Website: practo.com | Email: missing | Mobile: 919987386811 | [2026-05-02] Platform partnership source row refreshed</t>
        </is>
      </c>
    </row>
    <row r="248">
      <c r="A248" t="inlineStr">
        <is>
          <t>PLAT-006</t>
        </is>
      </c>
      <c r="B248" t="inlineStr">
        <is>
          <t>Jay B.</t>
        </is>
      </c>
      <c r="C248" t="inlineStr">
        <is>
          <t>Practo</t>
        </is>
      </c>
      <c r="D248" t="inlineStr">
        <is>
          <t>Association</t>
        </is>
      </c>
      <c r="E248" t="inlineStr">
        <is>
          <t>B</t>
        </is>
      </c>
      <c r="F248" t="inlineStr">
        <is>
          <t>New</t>
        </is>
      </c>
      <c r="H248" t="inlineStr">
        <is>
          <t>Send first platform partnership outreach</t>
        </is>
      </c>
      <c r="I248" t="inlineStr">
        <is>
          <t>2026-05-04</t>
        </is>
      </c>
      <c r="J248" t="inlineStr">
        <is>
          <t>Active</t>
        </is>
      </c>
      <c r="K248" t="inlineStr">
        <is>
          <t>Source: platform partnership outreach table | SheetStatus: Not Contacted | LinkedIn: linkedin.com/in/ACoAABg4CcEBBzX92mLXqN8Ho_VQaqR0bhjWtG4 | Company LinkedIn: linkedin.com/company/practo-technologies-pvt-ltd | Website: practo.com | Email: missing | Mobile: missing | [2026-05-02] Platform partnership source row refreshed | [2026-05-03 Sunday planning rule] Sunday is planning-only; moved execution due action to 2026-05-04.</t>
        </is>
      </c>
    </row>
    <row r="249">
      <c r="A249" t="inlineStr">
        <is>
          <t>PLAT-007</t>
        </is>
      </c>
      <c r="B249" t="inlineStr">
        <is>
          <t>Shikhar Baveja</t>
        </is>
      </c>
      <c r="C249" t="inlineStr">
        <is>
          <t>Swiggy</t>
        </is>
      </c>
      <c r="D249" t="inlineStr">
        <is>
          <t>Association</t>
        </is>
      </c>
      <c r="E249" t="inlineStr">
        <is>
          <t>B</t>
        </is>
      </c>
      <c r="F249" t="inlineStr">
        <is>
          <t>New</t>
        </is>
      </c>
      <c r="H249" t="inlineStr">
        <is>
          <t>Send first platform partnership outreach</t>
        </is>
      </c>
      <c r="I249" t="inlineStr">
        <is>
          <t>2026-05-04</t>
        </is>
      </c>
      <c r="J249" t="inlineStr">
        <is>
          <t>Active</t>
        </is>
      </c>
      <c r="K249" t="inlineStr">
        <is>
          <t>Source: platform partnership outreach table | SheetStatus: Not Contacted | LinkedIn: linkedin.com/in/ACoAAA6BZPEBJs3oTWp8tl9cBvGNYhah9ayVhH0 | Company LinkedIn: linkedin.com/company/swiggy-in | Website: careers.swiggy.com | Email: shikhar.baveja@swiggy.in | Mobile: missing | [2026-05-02] Platform partnership source row refreshed | [2026-05-03 Sunday planning rule] Sunday is planning-only; moved execution due action to 2026-05-04.</t>
        </is>
      </c>
    </row>
    <row r="250">
      <c r="A250" t="inlineStr">
        <is>
          <t>PLAT-008</t>
        </is>
      </c>
      <c r="B250" t="inlineStr">
        <is>
          <t>Prakash Singhal</t>
        </is>
      </c>
      <c r="C250" t="inlineStr">
        <is>
          <t>Housing</t>
        </is>
      </c>
      <c r="D250" t="inlineStr">
        <is>
          <t>Association</t>
        </is>
      </c>
      <c r="E250" t="inlineStr">
        <is>
          <t>B</t>
        </is>
      </c>
      <c r="F250" t="inlineStr">
        <is>
          <t>Contacted</t>
        </is>
      </c>
      <c r="G250" t="inlineStr">
        <is>
          <t>2026-05-02</t>
        </is>
      </c>
      <c r="H250" t="inlineStr">
        <is>
          <t>Follow-up 1 for platform partnership outreach if no reply</t>
        </is>
      </c>
      <c r="I250" t="inlineStr">
        <is>
          <t>2026-05-04</t>
        </is>
      </c>
      <c r="J250" t="inlineStr">
        <is>
          <t>Active</t>
        </is>
      </c>
      <c r="K250" t="inlineStr">
        <is>
          <t>Source: platform partnership outreach table | SheetStatus: Contacted | LinkedIn: linkedin.com/in/ACoAAAJ8MvoBa1hloZzn3EQNqzhpHkMKoUm1Rbw | Company LinkedIn: linkedin.com/company/housing-com | Website: housing.com | Email: prakash.singhal@housing.com | Mobile: 918882211110 | [2026-05-02] Platform partnership source row refreshed</t>
        </is>
      </c>
    </row>
    <row r="251">
      <c r="A251" t="inlineStr">
        <is>
          <t>PLAT-009</t>
        </is>
      </c>
      <c r="B251" t="inlineStr">
        <is>
          <t>Shruti Garg</t>
        </is>
      </c>
      <c r="C251" t="inlineStr">
        <is>
          <t>Housing</t>
        </is>
      </c>
      <c r="D251" t="inlineStr">
        <is>
          <t>Association</t>
        </is>
      </c>
      <c r="E251" t="inlineStr">
        <is>
          <t>B</t>
        </is>
      </c>
      <c r="F251" t="inlineStr">
        <is>
          <t>Contacted</t>
        </is>
      </c>
      <c r="G251" t="inlineStr">
        <is>
          <t>2026-05-02</t>
        </is>
      </c>
      <c r="H251" t="inlineStr">
        <is>
          <t>Follow-up 1 for platform partnership outreach if no reply</t>
        </is>
      </c>
      <c r="I251" t="inlineStr">
        <is>
          <t>2026-05-04</t>
        </is>
      </c>
      <c r="J251" t="inlineStr">
        <is>
          <t>Active</t>
        </is>
      </c>
      <c r="K251" t="inlineStr">
        <is>
          <t>Source: platform partnership outreach table | SheetStatus: Contacted | LinkedIn: linkedin.com/in/ACoAAAL3gLcBTOAFv3hPitlSN7Cfc9Eo7DLH8VY | Company LinkedIn: linkedin.com/company/housing-com | Website: housing.com | Email: shruti.garg@housing.com | Mobile: missing | [2026-05-02] Platform partnership source row refreshed</t>
        </is>
      </c>
    </row>
  </sheetData>
  <mergeCells count="2">
    <mergeCell ref="A2:K2"/>
    <mergeCell ref="A1:K1"/>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row r="10">
      <c r="A10" t="inlineStr">
        <is>
          <t>Current Progress Refresh</t>
        </is>
      </c>
      <c r="B10" t="inlineStr">
        <is>
          <t>Dashboard and progress sheet now reflect FNOMO_MASTER_PIPELINE.</t>
        </is>
      </c>
    </row>
    <row r="11">
      <c r="A11" t="inlineStr">
        <is>
          <t>Pipeline status</t>
        </is>
      </c>
      <c r="B11" t="inlineStr">
        <is>
          <t>185 total leads; 99 contacted; 86 new; 21 Tier A still new.</t>
        </is>
      </c>
    </row>
    <row r="12">
      <c r="A12" t="inlineStr">
        <is>
          <t>WhatsApp lead batch</t>
        </is>
      </c>
      <c r="B12" t="inlineStr">
        <is>
          <t>20 WA rows mirrored from WHATSAPP_CA_LEADS; follow-up due 2026-05-04.</t>
        </is>
      </c>
    </row>
  </sheetData>
  <mergeCells count="2">
    <mergeCell ref="A2:F2"/>
    <mergeCell ref="A1:F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47"/>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row r="30">
      <c r="A30" t="inlineStr">
        <is>
          <t>TDA-FC-001</t>
        </is>
      </c>
      <c r="B30" t="inlineStr">
        <is>
          <t>Send Founder Circle CA invite</t>
        </is>
      </c>
      <c r="C30" t="inlineStr">
        <is>
          <t>Kush</t>
        </is>
      </c>
      <c r="D30" t="inlineStr">
        <is>
          <t>A</t>
        </is>
      </c>
      <c r="E30" t="inlineStr">
        <is>
          <t>Send Founder Circle wrong-decision trigger to tagged CA contacts; classify every reply.</t>
        </is>
      </c>
      <c r="F30" t="inlineStr">
        <is>
          <t>2026-05-04</t>
        </is>
      </c>
      <c r="G30" t="inlineStr">
        <is>
          <t>Planned for Monday</t>
        </is>
      </c>
      <c r="H30" t="inlineStr">
        <is>
          <t>Founder Circle</t>
        </is>
      </c>
      <c r="I30" t="inlineStr">
        <is>
          <t>Target first 5-10 replies; do not open public sales.</t>
        </is>
      </c>
    </row>
    <row r="31">
      <c r="A31" t="inlineStr">
        <is>
          <t>TDA-FC-002</t>
        </is>
      </c>
      <c r="B31" t="inlineStr">
        <is>
          <t>Send Founder Circle business-owner invite</t>
        </is>
      </c>
      <c r="C31" t="inlineStr">
        <is>
          <t>Kush</t>
        </is>
      </c>
      <c r="D31" t="inlineStr">
        <is>
          <t>A</t>
        </is>
      </c>
      <c r="E31" t="inlineStr">
        <is>
          <t>Send capital-decision stress-test trigger to tagged business-owner contacts.</t>
        </is>
      </c>
      <c r="F31" t="inlineStr">
        <is>
          <t>2026-05-04</t>
        </is>
      </c>
      <c r="G31" t="inlineStr">
        <is>
          <t>Planned for Monday</t>
        </is>
      </c>
      <c r="H31" t="inlineStr">
        <is>
          <t>Founder Circle</t>
        </is>
      </c>
      <c r="I31" t="inlineStr">
        <is>
          <t>Use Rs 4,899/year founder access; no discount framing.</t>
        </is>
      </c>
    </row>
    <row r="32">
      <c r="A32" t="inlineStr">
        <is>
          <t>TDA-FC-003</t>
        </is>
      </c>
      <c r="B32" t="inlineStr">
        <is>
          <t>Publish Founder Circle LinkedIn post</t>
        </is>
      </c>
      <c r="C32" t="inlineStr">
        <is>
          <t>Kush</t>
        </is>
      </c>
      <c r="D32" t="inlineStr">
        <is>
          <t>B</t>
        </is>
      </c>
      <c r="E32" t="inlineStr">
        <is>
          <t>Publish serious-investor Founder Circle post after direct cohort messages are queued.</t>
        </is>
      </c>
      <c r="F32" t="inlineStr">
        <is>
          <t>2026-05-04</t>
        </is>
      </c>
      <c r="G32" t="inlineStr">
        <is>
          <t>Planned for Monday</t>
        </is>
      </c>
      <c r="H32" t="inlineStr">
        <is>
          <t>Founder Circle</t>
        </is>
      </c>
      <c r="I32" t="inlineStr">
        <is>
          <t>Do not imply fake demand; use real 100-seat cap.</t>
        </is>
      </c>
    </row>
    <row r="33">
      <c r="A33" t="inlineStr">
        <is>
          <t>TDA-FC-004</t>
        </is>
      </c>
      <c r="B33" t="inlineStr">
        <is>
          <t>Track Founder Circle replies</t>
        </is>
      </c>
      <c r="C33" t="inlineStr">
        <is>
          <t>Codex</t>
        </is>
      </c>
      <c r="D33" t="inlineStr">
        <is>
          <t>A</t>
        </is>
      </c>
      <c r="E33" t="inlineStr">
        <is>
          <t>Classify replies and refresh dashboard; success threshold is 5-10 replies.</t>
        </is>
      </c>
      <c r="F33" t="inlineStr">
        <is>
          <t>2026-05-04</t>
        </is>
      </c>
      <c r="G33" t="inlineStr">
        <is>
          <t>Planned for Monday</t>
        </is>
      </c>
      <c r="H33" t="inlineStr">
        <is>
          <t>Founder Circle</t>
        </is>
      </c>
      <c r="I33" t="inlineStr">
        <is>
          <t>No unclassified Outcome rows.</t>
        </is>
      </c>
    </row>
    <row r="34">
      <c r="A34" t="inlineStr">
        <is>
          <t>TDA-FC-005</t>
        </is>
      </c>
      <c r="B34" t="inlineStr">
        <is>
          <t>Shortlist 20 Founder Circle prospects</t>
        </is>
      </c>
      <c r="C34" t="inlineStr">
        <is>
          <t>Kush</t>
        </is>
      </c>
      <c r="D34" t="inlineStr">
        <is>
          <t>B</t>
        </is>
      </c>
      <c r="E34" t="inlineStr">
        <is>
          <t>Build a shortlist only: capital exposure, decision pain, behavioral signal, and referral leverage. Do not send until reply gate clears.</t>
        </is>
      </c>
      <c r="F34" t="inlineStr">
        <is>
          <t>2026-05-04</t>
        </is>
      </c>
      <c r="G34" t="inlineStr">
        <is>
          <t>Prepare Only</t>
        </is>
      </c>
      <c r="H34" t="inlineStr">
        <is>
          <t>Founder Circle</t>
        </is>
      </c>
      <c r="I34" t="inlineStr">
        <is>
          <t>This supports the daily stack without violating no cold expansion.</t>
        </is>
      </c>
    </row>
    <row r="35">
      <c r="A35" t="inlineStr">
        <is>
          <t>TDA-FC-006</t>
        </is>
      </c>
      <c r="B35" t="inlineStr">
        <is>
          <t>Capture Founder Circle proof assets</t>
        </is>
      </c>
      <c r="C35" t="inlineStr">
        <is>
          <t>Kush</t>
        </is>
      </c>
      <c r="D35" t="inlineStr">
        <is>
          <t>A</t>
        </is>
      </c>
      <c r="E35" t="inlineStr">
        <is>
          <t>After any positive reply/value moment, capture one line, voice note, or before/after thinking snippet.</t>
        </is>
      </c>
      <c r="F35" t="inlineStr">
        <is>
          <t>2026-05-04</t>
        </is>
      </c>
      <c r="G35" t="inlineStr">
        <is>
          <t>Planned for Monday</t>
        </is>
      </c>
      <c r="H35" t="inlineStr">
        <is>
          <t>Founder Circle</t>
        </is>
      </c>
      <c r="I35" t="inlineStr">
        <is>
          <t>Ask for decision clarity shift, not product praise.</t>
        </is>
      </c>
    </row>
    <row r="36">
      <c r="A36" t="inlineStr">
        <is>
          <t>TDA-FA-001</t>
        </is>
      </c>
      <c r="B36" t="inlineStr">
        <is>
          <t>Founder Day 1 activation prompt</t>
        </is>
      </c>
      <c r="C36" t="inlineStr">
        <is>
          <t>Kush</t>
        </is>
      </c>
      <c r="D36" t="inlineStr">
        <is>
          <t>A</t>
        </is>
      </c>
      <c r="E36" t="inlineStr">
        <is>
          <t>Ask every new paid founder: What decision are you currently thinking about?</t>
        </is>
      </c>
      <c r="F36" t="inlineStr">
        <is>
          <t>2026-05-04</t>
        </is>
      </c>
      <c r="G36" t="inlineStr">
        <is>
          <t>Planned for Monday</t>
        </is>
      </c>
      <c r="H36" t="inlineStr">
        <is>
          <t>Founder Activation</t>
        </is>
      </c>
      <c r="I36" t="inlineStr">
        <is>
          <t>Target 80% response.</t>
        </is>
      </c>
    </row>
    <row r="37">
      <c r="A37" t="inlineStr">
        <is>
          <t>TDA-FA-002</t>
        </is>
      </c>
      <c r="B37" t="inlineStr">
        <is>
          <t>Founder first validation loop</t>
        </is>
      </c>
      <c r="C37" t="inlineStr">
        <is>
          <t>Kush</t>
        </is>
      </c>
      <c r="D37" t="inlineStr">
        <is>
          <t>A</t>
        </is>
      </c>
      <c r="E37" t="inlineStr">
        <is>
          <t>Move founder to validate one real decision before acting.</t>
        </is>
      </c>
      <c r="F37" t="inlineStr">
        <is>
          <t>2026-05-05</t>
        </is>
      </c>
      <c r="G37" t="inlineStr">
        <is>
          <t>Within 48h</t>
        </is>
      </c>
      <c r="H37" t="inlineStr">
        <is>
          <t>Founder Activation</t>
        </is>
      </c>
      <c r="I37" t="inlineStr">
        <is>
          <t>Target 60% usage activation.</t>
        </is>
      </c>
    </row>
    <row r="38">
      <c r="A38" t="inlineStr">
        <is>
          <t>TDA-FA-003</t>
        </is>
      </c>
      <c r="B38" t="inlineStr">
        <is>
          <t>Founder reflection capture</t>
        </is>
      </c>
      <c r="C38" t="inlineStr">
        <is>
          <t>Kush</t>
        </is>
      </c>
      <c r="D38" t="inlineStr">
        <is>
          <t>A</t>
        </is>
      </c>
      <c r="E38" t="inlineStr">
        <is>
          <t>Ask: Did anything change in how you think before acting?</t>
        </is>
      </c>
      <c r="F38" t="inlineStr">
        <is>
          <t>2026-05-07</t>
        </is>
      </c>
      <c r="G38" t="inlineStr">
        <is>
          <t>Scheduled</t>
        </is>
      </c>
      <c r="H38" t="inlineStr">
        <is>
          <t>Founder Activation</t>
        </is>
      </c>
      <c r="I38" t="inlineStr">
        <is>
          <t>Capture 1-line proof.</t>
        </is>
      </c>
    </row>
    <row r="39">
      <c r="A39" t="inlineStr">
        <is>
          <t>TDA-FA-004</t>
        </is>
      </c>
      <c r="B39" t="inlineStr">
        <is>
          <t>Founder referral ask</t>
        </is>
      </c>
      <c r="C39" t="inlineStr">
        <is>
          <t>Kush</t>
        </is>
      </c>
      <c r="D39" t="inlineStr">
        <is>
          <t>A</t>
        </is>
      </c>
      <c r="E39" t="inlineStr">
        <is>
          <t>Ask: Who else do you know makes similar investment decisions?</t>
        </is>
      </c>
      <c r="F39" t="inlineStr">
        <is>
          <t>2026-05-09</t>
        </is>
      </c>
      <c r="G39" t="inlineStr">
        <is>
          <t>Scheduled</t>
        </is>
      </c>
      <c r="H39" t="inlineStr">
        <is>
          <t>Founder Activation</t>
        </is>
      </c>
      <c r="I39" t="inlineStr">
        <is>
          <t>Recognition, not discount.</t>
        </is>
      </c>
    </row>
    <row r="40">
      <c r="A40" t="inlineStr">
        <is>
          <t>TDA-FA-005</t>
        </is>
      </c>
      <c r="B40" t="inlineStr">
        <is>
          <t>Founder proof asset capture</t>
        </is>
      </c>
      <c r="C40" t="inlineStr">
        <is>
          <t>Kush</t>
        </is>
      </c>
      <c r="D40" t="inlineStr">
        <is>
          <t>B</t>
        </is>
      </c>
      <c r="E40" t="inlineStr">
        <is>
          <t>Capture quote, voice note, LinkedIn insight, or before/after case.</t>
        </is>
      </c>
      <c r="F40" t="inlineStr">
        <is>
          <t>2026-05-13</t>
        </is>
      </c>
      <c r="G40" t="inlineStr">
        <is>
          <t>Scheduled</t>
        </is>
      </c>
      <c r="H40" t="inlineStr">
        <is>
          <t>Founder Activation</t>
        </is>
      </c>
      <c r="I40" t="inlineStr">
        <is>
          <t>Ask for decision clarity shift, not product praise.</t>
        </is>
      </c>
    </row>
    <row r="41">
      <c r="A41" t="inlineStr">
        <is>
          <t>TDA-FA-006</t>
        </is>
      </c>
      <c r="B41" t="inlineStr">
        <is>
          <t>Assign founder archetypes</t>
        </is>
      </c>
      <c r="C41" t="inlineStr">
        <is>
          <t>Kush</t>
        </is>
      </c>
      <c r="D41" t="inlineStr">
        <is>
          <t>A</t>
        </is>
      </c>
      <c r="E41" t="inlineStr">
        <is>
          <t>Ask screening questions and confirm primary + secondary archetype: public posts, 1:1 advice, private sharing, or content creation.</t>
        </is>
      </c>
      <c r="F41" t="inlineStr">
        <is>
          <t>2026-05-04</t>
        </is>
      </c>
      <c r="G41" t="inlineStr">
        <is>
          <t>Planned for Monday</t>
        </is>
      </c>
      <c r="H41" t="inlineStr">
        <is>
          <t>Founder Activation</t>
        </is>
      </c>
      <c r="I41" t="inlineStr">
        <is>
          <t>Match 2/3 signals; if mixed, mark hybrid.</t>
        </is>
      </c>
    </row>
    <row r="42">
      <c r="A42" t="inlineStr">
        <is>
          <t>TDA-MTB-FU1-001</t>
        </is>
      </c>
      <c r="B42" t="inlineStr">
        <is>
          <t>Messaging Test Batch Follow-up 1</t>
        </is>
      </c>
      <c r="C42" t="inlineStr">
        <is>
          <t>Kush</t>
        </is>
      </c>
      <c r="D42" t="inlineStr">
        <is>
          <t>A</t>
        </is>
      </c>
      <c r="E42" t="inlineStr">
        <is>
          <t>Execute Monday Follow-up 1 for Tier A BO/CA Messaging Test Batch using variant rules; no links, no product, no pitch.</t>
        </is>
      </c>
      <c r="F42" t="inlineStr">
        <is>
          <t>2026-05-04</t>
        </is>
      </c>
      <c r="G42" t="inlineStr">
        <is>
          <t>Planned for Monday</t>
        </is>
      </c>
      <c r="H42" t="inlineStr">
        <is>
          <t>Messaging Test Batch 1</t>
        </is>
      </c>
      <c r="I42" t="inlineStr">
        <is>
          <t>Prepared on 2026-05-03; targets=22; variants={'Follow-up 1 - Process Audit': 15, 'Follow-up 1 - Advisor CA': 5, 'Follow-up 1 - Operator BO': 2}; Sunday planning only.</t>
        </is>
      </c>
    </row>
    <row r="43">
      <c r="A43" t="inlineStr">
        <is>
          <t>TDA-PAPERCLIP-001</t>
        </is>
      </c>
      <c r="B43" t="inlineStr">
        <is>
          <t>Paperclip Fnomo OS Setup</t>
        </is>
      </c>
      <c r="C43" t="inlineStr">
        <is>
          <t>Codex</t>
        </is>
      </c>
      <c r="D43" t="inlineStr">
        <is>
          <t>A</t>
        </is>
      </c>
      <c r="E43" t="inlineStr">
        <is>
          <t>Use Paperclip as orchestration layer only; Sheet remains source of truth.</t>
        </is>
      </c>
      <c r="F43" t="inlineStr">
        <is>
          <t>2026-05-03</t>
        </is>
      </c>
      <c r="G43" t="inlineStr">
        <is>
          <t>Done</t>
        </is>
      </c>
      <c r="H43" t="inlineStr">
        <is>
          <t>Paperclip</t>
        </is>
      </c>
      <c r="I43" t="inlineStr">
        <is>
          <t>Local dashboard verified at http://127.0.0.1:3100; Fnomo specialist agents and task types imported.</t>
        </is>
      </c>
    </row>
    <row r="44">
      <c r="A44" t="inlineStr">
        <is>
          <t>TDA-PAPERCLIP-HEALTH-001</t>
        </is>
      </c>
      <c r="B44" t="inlineStr">
        <is>
          <t>Paperclip System Health Monitor</t>
        </is>
      </c>
      <c r="C44" t="inlineStr">
        <is>
          <t>Codex / System Health Monitor</t>
        </is>
      </c>
      <c r="D44" t="inlineStr">
        <is>
          <t>A</t>
        </is>
      </c>
      <c r="E44" t="inlineStr">
        <is>
          <t>Run start-of-day, mid-cycle, and end-of-day checks; unblock stale tasks and enforce SLA.</t>
        </is>
      </c>
      <c r="F44" t="inlineStr">
        <is>
          <t>2026-05-04</t>
        </is>
      </c>
      <c r="G44" t="inlineStr">
        <is>
          <t>Active</t>
        </is>
      </c>
      <c r="H44" t="inlineStr">
        <is>
          <t>Paperclip</t>
        </is>
      </c>
      <c r="I44" t="inlineStr">
        <is>
          <t>System Check output required after major cycles: status, issue, correction applied, next priority.</t>
        </is>
      </c>
    </row>
    <row r="45">
      <c r="A45" t="inlineStr">
        <is>
          <t>TDA-PAPERCLIP-FU1-001</t>
        </is>
      </c>
      <c r="B45" t="inlineStr">
        <is>
          <t>Paperclip Monday Follow-up 1 Queue</t>
        </is>
      </c>
      <c r="C45" t="inlineStr">
        <is>
          <t>Follow-up Agent / Codex</t>
        </is>
      </c>
      <c r="D45" t="inlineStr">
        <is>
          <t>A</t>
        </is>
      </c>
      <c r="E45" t="inlineStr">
        <is>
          <t>Execute 22 Tier A BO/CA Messaging Test Batch Follow-up 1 messages on Monday only.</t>
        </is>
      </c>
      <c r="F45" t="inlineStr">
        <is>
          <t>2026-05-04</t>
        </is>
      </c>
      <c r="G45" t="inlineStr">
        <is>
          <t>Planned for Monday</t>
        </is>
      </c>
      <c r="H45" t="inlineStr">
        <is>
          <t>Messaging Test Batch 1</t>
        </is>
      </c>
      <c r="I45" t="inlineStr">
        <is>
          <t>Variant split: Process Audit 15, Advisor/CA 5, Operator/BO 2. Platform rows held for separate angle.</t>
        </is>
      </c>
    </row>
    <row r="46">
      <c r="A46" t="inlineStr">
        <is>
          <t>TDA-PAPERCLIP-AUTOSTART-001</t>
        </is>
      </c>
      <c r="B46" t="inlineStr">
        <is>
          <t>Paperclip Windows Auto Startup</t>
        </is>
      </c>
      <c r="C46" t="inlineStr">
        <is>
          <t>Codex</t>
        </is>
      </c>
      <c r="D46" t="inlineStr">
        <is>
          <t>A</t>
        </is>
      </c>
      <c r="E46" t="inlineStr">
        <is>
          <t>Verify Windows Startup shortcut starts Paperclip at user logon and health endpoint returns ok after restart.</t>
        </is>
      </c>
      <c r="F46" t="inlineStr">
        <is>
          <t>2026-05-03</t>
        </is>
      </c>
      <c r="G46" t="inlineStr">
        <is>
          <t>Done</t>
        </is>
      </c>
      <c r="H46" t="inlineStr">
        <is>
          <t>Paperclip</t>
        </is>
      </c>
      <c r="I46" t="inlineStr">
        <is>
          <t>Created user Startup shortcut Fnomo Paperclip AutoStart.lnk to run scripts/start_paperclip_autostart.ps1 at logon. Task Scheduler creation was blocked by Windows permissions.</t>
        </is>
      </c>
    </row>
    <row r="47">
      <c r="A47" t="inlineStr">
        <is>
          <t>TDA-PIPELINE-DATE-HYGIENE-001</t>
        </is>
      </c>
      <c r="B47" t="inlineStr">
        <is>
          <t>Audit active pipeline last-contact hygiene before Monday execution</t>
        </is>
      </c>
      <c r="C47" t="inlineStr">
        <is>
          <t>Codex / System Health Monitor</t>
        </is>
      </c>
      <c r="D47" t="inlineStr">
        <is>
          <t>High</t>
        </is>
      </c>
      <c r="E47" t="inlineStr">
        <is>
          <t>Correct missing Last_Contact_Date truthfully; do not fake contact dates</t>
        </is>
      </c>
      <c r="F47" t="inlineStr">
        <is>
          <t>2026-05-04</t>
        </is>
      </c>
      <c r="G47" t="inlineStr">
        <is>
          <t>Open</t>
        </is>
      </c>
      <c r="H47" t="inlineStr">
        <is>
          <t>Pipeline Hygiene</t>
        </is>
      </c>
      <c r="I47" t="inlineStr">
        <is>
          <t>Paperclip FNO-42. Sunday planning correction after post-restart health check found 91 active rows without Last_Contact_Date.</t>
        </is>
      </c>
    </row>
  </sheetData>
  <mergeCells count="2">
    <mergeCell ref="A2:H2"/>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33"/>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 rish_invincible@yahoo.com; activatedspidey00@gmail.com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88"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88" t="inlineStr">
        <is>
          <t>Business Owners &gt;2Cr</t>
        </is>
      </c>
      <c r="B6" s="188" t="inlineStr">
        <is>
          <t>ne@naharindia.com; sandeepwadhwani14@gmail.com; sumitlalwani66@gmail.com; star.delta@rediffmail.com; righillelectrics@righill.com; sales@kumaranindustries.com; pwcvpl@hotmail.com; svarliyani@gmail.com; yantrainfotech@gmail.com; rajubke@bkenter.com; bkbhatia.bke@gmail.com; managingdirector@skindustriesbhopal.com; saurabh@skindustriesbhopal.com; jbsangwan@electroautoindustries.com; kgbansal2@gmail.com; salesenquiry.ee@gmail.com; tesla@teslaindia.co; jaideep@teslaindia.co; info@parvatisweetners.com; pscmd@geiind.com; cs@geiind.com; contact@cjgelatineproducts.com; cjsecretarial@gmail.com; deep_buildurpc@yahoo.co.in; deep_buildpc@yahoo.co.in; hemakars@kumaranindustries.com</t>
        </is>
      </c>
      <c r="C6" s="188" t="inlineStr">
        <is>
          <t>Kush</t>
        </is>
      </c>
      <c r="D6" s="189" t="inlineStr">
        <is>
          <t>2026-05-04</t>
        </is>
      </c>
      <c r="E6" s="189" t="inlineStr">
        <is>
          <t>2026-05-04</t>
        </is>
      </c>
      <c r="F6" s="189" t="inlineStr">
        <is>
          <t>2026-05-06</t>
        </is>
      </c>
      <c r="G6" s="189" t="inlineStr">
        <is>
          <t>2026-05-09</t>
        </is>
      </c>
      <c r="H6" s="188" t="inlineStr">
        <is>
          <t>The decision looked right at the time</t>
        </is>
      </c>
      <c r="I6" s="188" t="inlineStr">
        <is>
          <t>Hi [Name],
Following up on my note. I am not asking for a broad product conversation. The useful question is narrower: what was the last stock, vendor, customer-credit, capex, or project decision that looked reasonable at approval time but would have benefited from one more validation step before money moved?
That is the gap Fnomo is built for: validating the decision before action.
If this is relevant, I would value a short conversation this week.
Kush
Operator note 2026-05-03: execute/log first-wave Follow-up 1 in this order: Nahar, Deep, Tirupati, Star Delta, Righill, Kumaran. Deep now has public office fallback deep_buildurpc/deep_buildpc plus mobiles; Kumaran has Hemakar support route. Use both only after primary follow-up logging; no Tier B expansion before outcomes.</t>
        </is>
      </c>
    </row>
    <row r="7">
      <c r="A7" s="188" t="inlineStr">
        <is>
          <t>CA Associations</t>
        </is>
      </c>
      <c r="B7" s="188" t="inlineStr">
        <is>
          <t>arpit.rai07@gmail.com; caabhishek108@gmail.com; camohabesamank@gmail.com; camausamrathi@gmail.com; samkit.fca@gmail.com; milind.wadhwani20@gmail.com; govind.agarwal@icai.in; circ@icai.in; chhajed_abhay@hotmail.com; anandjain812@gmail.com; pankajgshah@gmail.com; canarayansomani@gmail.com</t>
        </is>
      </c>
      <c r="C7" s="188" t="inlineStr">
        <is>
          <t>Kush</t>
        </is>
      </c>
      <c r="D7" s="189" t="inlineStr">
        <is>
          <t>2026-05-04</t>
        </is>
      </c>
      <c r="E7" s="189" t="inlineStr">
        <is>
          <t>2026-05-04</t>
        </is>
      </c>
      <c r="F7" s="189" t="inlineStr">
        <is>
          <t>2026-05-06</t>
        </is>
      </c>
      <c r="G7" s="189" t="inlineStr">
        <is>
          <t>2026-05-09</t>
        </is>
      </c>
      <c r="H7" s="188" t="inlineStr">
        <is>
          <t>Before a client commits capital</t>
        </is>
      </c>
      <c r="I7" s="188" t="inlineStr">
        <is>
          <t>Quick follow-up on my note.
The issue I am trying to validate is not whether clients need more information. It is whether, before they commit capital, someone has actually validated the decision itself.
Have you seen a client decision in the last few months where the client had confidence and inputs, but the decision still should have been stress-tested before action?
That is the gap Fnomo is built around: decision validation before money moves.
If this is worth testing with members, who should own a short first conversation from the branch side?
Kush
Operator note 2026-05-03: execute/log Bhopal Arpit and Abhishek Follow-up 1 first, then Milind. Samkit/Narayan are Indore 2026-27 handover routes only; CIRC/regional routes remain escalation after local ownership stalls.</t>
        </is>
      </c>
    </row>
    <row r="8">
      <c r="A8" s="112" t="inlineStr">
        <is>
          <t>Practo</t>
        </is>
      </c>
      <c r="B8" s="112" t="inlineStr">
        <is>
          <t>shoumyan.biswas@practo.com; shoumyan_78@yahoo.com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88"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 shilpi.srivastav@swiggy.in; shikhar.baveja@swiggy.in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88"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 ujwal146@yahoo.com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88"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88"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88"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row r="13">
      <c r="A13" t="inlineStr">
        <is>
          <t>CA Messaging Test Batch 1 - Version B</t>
        </is>
      </c>
      <c r="B13" t="inlineStr">
        <is>
          <t>WhatsApp + Email</t>
        </is>
      </c>
      <c r="C13" t="inlineStr">
        <is>
          <t>Kush</t>
        </is>
      </c>
      <c r="D13" t="inlineStr">
        <is>
          <t>2026-05-03</t>
        </is>
      </c>
      <c r="E13" t="inlineStr">
        <is>
          <t>2026-05-05</t>
        </is>
      </c>
      <c r="F13" t="inlineStr">
        <is>
          <t>2026-05-07</t>
        </is>
      </c>
      <c r="G13" t="inlineStr">
        <is>
          <t>2026-05-10</t>
        </is>
      </c>
      <c r="H13" t="inlineStr">
        <is>
          <t>Before a client commits capital</t>
        </is>
      </c>
      <c r="I13" t="inlineStr">
        <is>
          <t>Quick question - before your clients make investment decisions, where do you usually see the confidence gap?
They may have information, opinions, and conviction, but still no independent validation before money moves.
That is the gap Fnomo is built for: a simple validation layer before the client commits.
Would you be open to seeing how this could support your advisory process?</t>
        </is>
      </c>
    </row>
    <row r="14">
      <c r="A14" t="inlineStr">
        <is>
          <t>Founder Circle - CA Invite</t>
        </is>
      </c>
      <c r="B14" t="inlineStr">
        <is>
          <t>WhatsApp + Email</t>
        </is>
      </c>
      <c r="C14" t="inlineStr">
        <is>
          <t>Kush</t>
        </is>
      </c>
      <c r="D14" t="inlineStr">
        <is>
          <t>2026-05-03</t>
        </is>
      </c>
      <c r="E14" t="inlineStr">
        <is>
          <t>2026-05-05</t>
        </is>
      </c>
      <c r="F14" t="inlineStr">
        <is>
          <t>2026-05-07</t>
        </is>
      </c>
      <c r="G14" t="inlineStr">
        <is>
          <t>2026-05-10</t>
        </is>
      </c>
      <c r="H14" t="inlineStr">
        <is>
          <t>Founder Circle access for CAs</t>
        </is>
      </c>
      <c r="I14" t="inlineStr">
        <is>
          <t>Quick question - in the last few months, have you had a client take an investment decision that did not work out as expected?
We are building Fnomo for exactly that gap: a validation layer before the client commits capital.
We are opening the first Founder Circle for a small set of CAs at Rs 4,899/year before public launch.
Would you be open to seeing the founder access?</t>
        </is>
      </c>
    </row>
    <row r="15">
      <c r="A15" t="inlineStr">
        <is>
          <t>Founder Circle - Business Owner Invite</t>
        </is>
      </c>
      <c r="B15" t="inlineStr">
        <is>
          <t>WhatsApp + Email</t>
        </is>
      </c>
      <c r="C15" t="inlineStr">
        <is>
          <t>Kush</t>
        </is>
      </c>
      <c r="D15" t="inlineStr">
        <is>
          <t>2026-05-03</t>
        </is>
      </c>
      <c r="E15" t="inlineStr">
        <is>
          <t>2026-05-05</t>
        </is>
      </c>
      <c r="F15" t="inlineStr">
        <is>
          <t>2026-05-07</t>
        </is>
      </c>
      <c r="G15" t="inlineStr">
        <is>
          <t>2026-05-10</t>
        </is>
      </c>
      <c r="H15" t="inlineStr">
        <is>
          <t>What looked right before money moved?</t>
        </is>
      </c>
      <c r="I15" t="inlineStr">
        <is>
          <t>What was the last capital or investment decision that looked right at the time, but you later wished you had stress-tested?
Fnomo is built for that moment before money moves. We are inviting a small Founder Circle at Rs 4,899/year before public launch.
Worth a quick look?</t>
        </is>
      </c>
    </row>
    <row r="16">
      <c r="A16" t="inlineStr">
        <is>
          <t>Founder Circle - LinkedIn Post</t>
        </is>
      </c>
      <c r="B16" t="inlineStr">
        <is>
          <t>LinkedIn</t>
        </is>
      </c>
      <c r="C16" t="inlineStr">
        <is>
          <t>Kush</t>
        </is>
      </c>
      <c r="D16" t="inlineStr">
        <is>
          <t>2026-05-03</t>
        </is>
      </c>
      <c r="H16" t="inlineStr">
        <is>
          <t>Most investment mistakes do not feel reckless</t>
        </is>
      </c>
      <c r="I16" t="inlineStr">
        <is>
          <t>Most investment mistakes do not feel reckless when they are made. They feel informed.
That is the gap Fnomo is building for: validating capital decisions before execution.
We are opening a small Founder Circle for serious investors, advisors, and operators before public launch.</t>
        </is>
      </c>
    </row>
    <row r="17">
      <c r="A17" t="inlineStr">
        <is>
          <t>Founder Circle - Objection Responses</t>
        </is>
      </c>
      <c r="B17" t="inlineStr">
        <is>
          <t>Sales Reply</t>
        </is>
      </c>
      <c r="C17" t="inlineStr">
        <is>
          <t>Kush</t>
        </is>
      </c>
      <c r="D17" t="inlineStr">
        <is>
          <t>2026-05-03</t>
        </is>
      </c>
      <c r="H17" t="inlineStr">
        <is>
          <t>Founder Circle objection handling</t>
        </is>
      </c>
      <c r="I17" t="inlineStr">
        <is>
          <t>Monthly first: That is logical if this were a normal subscription. Founder Circle is different: early access, status, and locked founder privileges.
What exactly do I get? A structured way to validate an investment decision before committing capital, plus founder-only feedback access and early workflows.
No time: That is exactly why this exists. It is for the moment before a capital decision, not for general learning.</t>
        </is>
      </c>
    </row>
    <row r="18">
      <c r="A18" t="inlineStr">
        <is>
          <t>Founder Circle - Proof Capture</t>
        </is>
      </c>
      <c r="B18" t="inlineStr">
        <is>
          <t>WhatsApp + Voice Note</t>
        </is>
      </c>
      <c r="C18" t="inlineStr">
        <is>
          <t>Kush</t>
        </is>
      </c>
      <c r="D18" t="inlineStr">
        <is>
          <t>2026-05-03</t>
        </is>
      </c>
      <c r="H18" t="inlineStr">
        <is>
          <t>Founder proof capture questions</t>
        </is>
      </c>
      <c r="I18" t="inlineStr">
        <is>
          <t>Day 1-2: What was your last wrong investment or capital decision?
Day 3-5: After using this, what changed in how you think before investing?
Proof ask: Would you be comfortable sharing this as a 1-line WhatsApp quote or a 20-30 second voice note? We can keep it anonymized.</t>
        </is>
      </c>
    </row>
    <row r="19">
      <c r="A19" t="inlineStr">
        <is>
          <t>Founder Circle - Referral Ask</t>
        </is>
      </c>
      <c r="B19" t="inlineStr">
        <is>
          <t>WhatsApp</t>
        </is>
      </c>
      <c r="C19" t="inlineStr">
        <is>
          <t>Kush</t>
        </is>
      </c>
      <c r="D19" t="inlineStr">
        <is>
          <t>2026-05-03</t>
        </is>
      </c>
      <c r="H19" t="inlineStr">
        <is>
          <t>Who else makes similar decisions?</t>
        </is>
      </c>
      <c r="I19" t="inlineStr">
        <is>
          <t>Who are two people you know who make serious investment or capital decisions and would value an extra validation layer before committing money?
We are keeping Founder Circle curated, so I would rather take 2 relevant introductions than broad sharing.</t>
        </is>
      </c>
    </row>
    <row r="20">
      <c r="A20" t="inlineStr">
        <is>
          <t>Founder Activation Email 1</t>
        </is>
      </c>
      <c r="B20" t="inlineStr">
        <is>
          <t>Email</t>
        </is>
      </c>
      <c r="C20" t="inlineStr">
        <is>
          <t>Kush</t>
        </is>
      </c>
      <c r="D20" t="inlineStr">
        <is>
          <t>2026-05-03</t>
        </is>
      </c>
      <c r="H20" t="inlineStr">
        <is>
          <t>You're in - but this works differently</t>
        </is>
      </c>
      <c r="I20" t="inlineStr">
        <is>
          <t>You're part of the Founder Circle.
Fnomo is not for finding investments. It's for validating decisions before you act.
What is one decision you're currently thinking about?
Reply with that. We'll help you think through it.</t>
        </is>
      </c>
    </row>
    <row r="21">
      <c r="A21" t="inlineStr">
        <is>
          <t>Founder Activation Email 2</t>
        </is>
      </c>
      <c r="B21" t="inlineStr">
        <is>
          <t>Email</t>
        </is>
      </c>
      <c r="C21" t="inlineStr">
        <is>
          <t>Kush</t>
        </is>
      </c>
      <c r="D21" t="inlineStr">
        <is>
          <t>2026-05-03</t>
        </is>
      </c>
      <c r="H21" t="inlineStr">
        <is>
          <t>This is where most investors go wrong</t>
        </is>
      </c>
      <c r="I21" t="inlineStr">
        <is>
          <t>Most people don't lose money because of bad information.
They lose because they act without validating their decision.
Before your next investment - pause. Ask: Have I actually validated this?
Reply if you try this once.</t>
        </is>
      </c>
    </row>
    <row r="22">
      <c r="A22" t="inlineStr">
        <is>
          <t>Founder Activation Email 3</t>
        </is>
      </c>
      <c r="B22" t="inlineStr">
        <is>
          <t>Email</t>
        </is>
      </c>
      <c r="C22" t="inlineStr">
        <is>
          <t>Kush</t>
        </is>
      </c>
      <c r="D22" t="inlineStr">
        <is>
          <t>2026-05-03</t>
        </is>
      </c>
      <c r="H22" t="inlineStr">
        <is>
          <t>Quick question</t>
        </is>
      </c>
      <c r="I22" t="inlineStr">
        <is>
          <t>After using this once - did anything change in how you think before investing?
Even a small shift matters.
Reply in one line.</t>
        </is>
      </c>
    </row>
    <row r="23">
      <c r="A23" t="inlineStr">
        <is>
          <t>Founder Activation Email 4</t>
        </is>
      </c>
      <c r="B23" t="inlineStr">
        <is>
          <t>Email</t>
        </is>
      </c>
      <c r="C23" t="inlineStr">
        <is>
          <t>Kush</t>
        </is>
      </c>
      <c r="D23" t="inlineStr">
        <is>
          <t>2026-05-03</t>
        </is>
      </c>
      <c r="H23" t="inlineStr">
        <is>
          <t>Someone else needs this</t>
        </is>
      </c>
      <c r="I23" t="inlineStr">
        <is>
          <t>Most people around you are making decisions without validation.
Think of 1 person who invests regularly and second-guesses decisions. Introduce them because they're already facing the problem.</t>
        </is>
      </c>
    </row>
    <row r="24">
      <c r="A24" t="inlineStr">
        <is>
          <t>Founder Activation Email 5</t>
        </is>
      </c>
      <c r="B24" t="inlineStr">
        <is>
          <t>Email</t>
        </is>
      </c>
      <c r="C24" t="inlineStr">
        <is>
          <t>Kush</t>
        </is>
      </c>
      <c r="D24" t="inlineStr">
        <is>
          <t>2026-05-03</t>
        </is>
      </c>
      <c r="H24" t="inlineStr">
        <is>
          <t>What being a founder actually means</t>
        </is>
      </c>
      <c r="I24" t="inlineStr">
        <is>
          <t>Founder Circle is not early access. It's early influence.
What you share shapes how this evolves.
If you've used this once, share your experience.</t>
        </is>
      </c>
    </row>
    <row r="25">
      <c r="A25" t="inlineStr">
        <is>
          <t>Founder Archetype - Mega Connector</t>
        </is>
      </c>
      <c r="B25" t="inlineStr">
        <is>
          <t>LinkedIn</t>
        </is>
      </c>
      <c r="C25" t="inlineStr">
        <is>
          <t>Kush</t>
        </is>
      </c>
      <c r="D25" t="inlineStr">
        <is>
          <t>2026-05-03</t>
        </is>
      </c>
      <c r="E25" t="inlineStr">
        <is>
          <t>Archetype-specific founder activation</t>
        </is>
      </c>
      <c r="H25" t="inlineStr">
        <is>
          <t>Mega Connector founder prompt</t>
        </is>
      </c>
      <c r="I25" t="inlineStr">
        <is>
          <t>Ask founder to share one thought: why most investors make mistakes despite good information.
Then use this path:
Day 2-3: Give LinkedIn post template: mistakes feel informed because inputs are not the same as decision validation.
Day 4-5: Ask founder to publish post and reply to comments with the decision-validation frame.
Day 6-7: Ask founder to DM 2-3 engaged commenters and open founder conversations.
Recognition: Public leaderboard, LinkedIn shoutouts, Top Founder Voice tag</t>
        </is>
      </c>
    </row>
    <row r="26">
      <c r="A26" t="inlineStr">
        <is>
          <t>Founder Archetype - Trusted Advisor</t>
        </is>
      </c>
      <c r="B26" t="inlineStr">
        <is>
          <t>Calls / 1:1 advice</t>
        </is>
      </c>
      <c r="C26" t="inlineStr">
        <is>
          <t>Kush</t>
        </is>
      </c>
      <c r="D26" t="inlineStr">
        <is>
          <t>2026-05-03</t>
        </is>
      </c>
      <c r="E26" t="inlineStr">
        <is>
          <t>Archetype-specific founder activation</t>
        </is>
      </c>
      <c r="H26" t="inlineStr">
        <is>
          <t>Trusted Advisor founder prompt</t>
        </is>
      </c>
      <c r="I26" t="inlineStr">
        <is>
          <t>Ask: Which client recently made a decision that did not work?
Then use this path:
Day 2-3: Give 1:1 script: Before you act on this, have you validated the decision?
Day 4-5: Ask advisor to use the validation prompt with 3 clients.
Day 6-7: Ask advisor to introduce Fnomo to 2 relevant clients.
Recognition: Private recognition, direct access to team, case-study feature</t>
        </is>
      </c>
    </row>
    <row r="27">
      <c r="A27" t="inlineStr">
        <is>
          <t>Founder Archetype - Operator Investor</t>
        </is>
      </c>
      <c r="B27" t="inlineStr">
        <is>
          <t>WhatsApp</t>
        </is>
      </c>
      <c r="C27" t="inlineStr">
        <is>
          <t>Kush</t>
        </is>
      </c>
      <c r="D27" t="inlineStr">
        <is>
          <t>2026-05-03</t>
        </is>
      </c>
      <c r="E27" t="inlineStr">
        <is>
          <t>Archetype-specific founder activation</t>
        </is>
      </c>
      <c r="H27" t="inlineStr">
        <is>
          <t>Operator Investor founder prompt</t>
        </is>
      </c>
      <c r="I27" t="inlineStr">
        <is>
          <t>Ask: What decision are you evaluating this week?
Then use this path:
Day 2-3: Ask founder to use Fnomo personally on the current decision.
Day 4-5: Give WhatsApp share: I have started validating decisions before investing - makes a difference.
Day 6-7: Ask founder to share privately with 2-3 peers.
Recognition: Exclusive group access, silent recognition, priority decision support</t>
        </is>
      </c>
    </row>
    <row r="28">
      <c r="A28" t="inlineStr">
        <is>
          <t>Founder Archetype - Content Amplifier</t>
        </is>
      </c>
      <c r="B28" t="inlineStr">
        <is>
          <t>Video / content</t>
        </is>
      </c>
      <c r="C28" t="inlineStr">
        <is>
          <t>Kush</t>
        </is>
      </c>
      <c r="D28" t="inlineStr">
        <is>
          <t>2026-05-03</t>
        </is>
      </c>
      <c r="E28" t="inlineStr">
        <is>
          <t>Archetype-specific founder activation</t>
        </is>
      </c>
      <c r="H28" t="inlineStr">
        <is>
          <t>Content Amplifier founder prompt</t>
        </is>
      </c>
      <c r="I28" t="inlineStr">
        <is>
          <t>Ask: What is the biggest mistake investors make?
Then use this path:
Day 2-3: Give video script: Most investors think they need better stock ideas, but the real problem is not validating decisions before acting.
Day 4-5: Ask founder to create 1 reel or video.
Day 6-7: Ask founder to post and engage comments for founder conversations.
Recognition: Featured posts, co-branded content, audience growth support</t>
        </is>
      </c>
    </row>
    <row r="29">
      <c r="A29" t="inlineStr">
        <is>
          <t>Follow-up 1 - Loss Recall</t>
        </is>
      </c>
      <c r="B29" t="inlineStr">
        <is>
          <t>WhatsApp / LinkedIn DM</t>
        </is>
      </c>
      <c r="C29" t="inlineStr">
        <is>
          <t>Kush</t>
        </is>
      </c>
      <c r="D29" t="inlineStr">
        <is>
          <t>2026-05-04</t>
        </is>
      </c>
      <c r="E29" t="inlineStr">
        <is>
          <t>2026-05-04</t>
        </is>
      </c>
      <c r="H29" t="inlineStr">
        <is>
          <t>Quick follow-up</t>
        </is>
      </c>
      <c r="I29" t="inlineStr">
        <is>
          <t>Quick follow-up -
In the last few months, was there a decision that looked right at the time but you later questioned?
Not about finding ideas - just the moment before acting.
Curious how you handle that step today.
Rule: Default when profile is broad Tier A and no sharper role cue is available.</t>
        </is>
      </c>
    </row>
    <row r="30">
      <c r="A30" t="inlineStr">
        <is>
          <t>Follow-up 1 - Process Audit</t>
        </is>
      </c>
      <c r="B30" t="inlineStr">
        <is>
          <t>WhatsApp / LinkedIn DM</t>
        </is>
      </c>
      <c r="C30" t="inlineStr">
        <is>
          <t>Kush</t>
        </is>
      </c>
      <c r="D30" t="inlineStr">
        <is>
          <t>2026-05-04</t>
        </is>
      </c>
      <c r="E30" t="inlineStr">
        <is>
          <t>2026-05-04</t>
        </is>
      </c>
      <c r="H30" t="inlineStr">
        <is>
          <t>Adding context to my last note</t>
        </is>
      </c>
      <c r="I30" t="inlineStr">
        <is>
          <t>Adding context to my last note -
Most people I speak to have strong research, but no structured step to validate the decision before acting.
In your process, does that step exist, or does it move straight from analysis to action?
Rule: Use for analytical, technical, listed-company, industrial, finance-heavy, or process-led profiles.</t>
        </is>
      </c>
    </row>
    <row r="31">
      <c r="A31" t="inlineStr">
        <is>
          <t>Follow-up 1 - Advisor CA</t>
        </is>
      </c>
      <c r="B31" t="inlineStr">
        <is>
          <t>WhatsApp / LinkedIn DM</t>
        </is>
      </c>
      <c r="C31" t="inlineStr">
        <is>
          <t>Kush</t>
        </is>
      </c>
      <c r="D31" t="inlineStr">
        <is>
          <t>2026-05-04</t>
        </is>
      </c>
      <c r="E31" t="inlineStr">
        <is>
          <t>2026-05-04</t>
        </is>
      </c>
      <c r="H31" t="inlineStr">
        <is>
          <t>Following up</t>
        </is>
      </c>
      <c r="I31" t="inlineStr">
        <is>
          <t>Following up -
Have you had a client recently take a decision that didn't work out as expected?
Usually the gap isn't advice - it's what happens just before they act.
Do you have a validation step there, or is it still a gap?
Rule: Use for CA, advisor, branch, association, and professional trust routes.</t>
        </is>
      </c>
    </row>
    <row r="32">
      <c r="A32" t="inlineStr">
        <is>
          <t>Follow-up 1 - Operator BO</t>
        </is>
      </c>
      <c r="B32" t="inlineStr">
        <is>
          <t>WhatsApp / LinkedIn DM</t>
        </is>
      </c>
      <c r="C32" t="inlineStr">
        <is>
          <t>Kush</t>
        </is>
      </c>
      <c r="D32" t="inlineStr">
        <is>
          <t>2026-05-04</t>
        </is>
      </c>
      <c r="E32" t="inlineStr">
        <is>
          <t>2026-05-04</t>
        </is>
      </c>
      <c r="H32" t="inlineStr">
        <is>
          <t>Quick one</t>
        </is>
      </c>
      <c r="I32" t="inlineStr">
        <is>
          <t>Quick one -
Before deploying capital, do you run a structured check on the decision itself, or rely on inputs + gut?
Most mistakes I see aren't bad information - it's unvalidated action.
Rule: Use for owner-led business, operator, HNI, and capital deployment routes.</t>
        </is>
      </c>
    </row>
    <row r="33">
      <c r="A33" t="inlineStr">
        <is>
          <t>Follow-up 1 - Close The Loop</t>
        </is>
      </c>
      <c r="B33" t="inlineStr">
        <is>
          <t>WhatsApp / LinkedIn DM</t>
        </is>
      </c>
      <c r="C33" t="inlineStr">
        <is>
          <t>Kush</t>
        </is>
      </c>
      <c r="D33" t="inlineStr">
        <is>
          <t>2026-05-04</t>
        </is>
      </c>
      <c r="E33" t="inlineStr">
        <is>
          <t>2026-05-04</t>
        </is>
      </c>
      <c r="H33" t="inlineStr">
        <is>
          <t>Closing the loop</t>
        </is>
      </c>
      <c r="I33" t="inlineStr">
        <is>
          <t>Closing the loop on my earlier messages.
If this isn't relevant right now, all good.
If the "validate before acting" step is something you've seen missing, happy to compare notes briefly.
Rule: Use on Day 7 if still silent. Do not use for Monday 48h follow-up unless a lead is already 7 days silent.</t>
        </is>
      </c>
    </row>
  </sheetData>
  <mergeCells count="2">
    <mergeCell ref="A2:G2"/>
    <mergeCell ref="A1:G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104"/>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3"/>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row r="10">
      <c r="A10" s="187" t="inlineStr">
        <is>
          <t>2026-05-02</t>
        </is>
      </c>
      <c r="B10" s="187" t="inlineStr">
        <is>
          <t>Lead Enrichment</t>
        </is>
      </c>
      <c r="C10" s="187" t="inlineStr">
        <is>
          <t>Overnight priority enrichment 2026-05-02</t>
        </is>
      </c>
      <c r="D10" s="187" t="inlineStr">
        <is>
          <t>Codex</t>
        </is>
      </c>
      <c r="E10" s="187" t="inlineStr">
        <is>
          <t>Workbook + web</t>
        </is>
      </c>
      <c r="F10" s="187" t="inlineStr">
        <is>
          <t>Added 12 verified public contact rows and upgraded Deep/Perfect World owner contacts</t>
        </is>
      </c>
      <c r="G10" s="187" t="inlineStr">
        <is>
          <t>Execute Tier A CA and owner contacts first; keep unverified-scale retail as Tier B</t>
        </is>
      </c>
      <c r="H10" s="187" t="inlineStr">
        <is>
          <t>Overnight priority enrichment automation</t>
        </is>
      </c>
    </row>
    <row r="11">
      <c r="A11" s="188" t="inlineStr">
        <is>
          <t>2026-05-02</t>
        </is>
      </c>
      <c r="B11" s="188" t="inlineStr">
        <is>
          <t>Priority Enrichment</t>
        </is>
      </c>
      <c r="C11" s="188" t="inlineStr">
        <is>
          <t>Business Owners &gt;2Cr</t>
        </is>
      </c>
      <c r="D11" s="188" t="inlineStr">
        <is>
          <t>Codex</t>
        </is>
      </c>
      <c r="E11" s="188" t="inlineStr">
        <is>
          <t>Workbook</t>
        </is>
      </c>
      <c r="F11" s="188" t="inlineStr">
        <is>
          <t>Promoted/confirmed Tier A owner routes and added verified public contact/source detail</t>
        </is>
      </c>
      <c r="G11" s="188" t="inlineStr">
        <is>
          <t>Execute Nahar, Deep, Perfect World, Tirupati, Sapna, Yantra today; call after email touch</t>
        </is>
      </c>
      <c r="H11" s="188" t="inlineStr">
        <is>
          <t>Fnomo Overnight Priority Enrichment</t>
        </is>
      </c>
    </row>
    <row r="12">
      <c r="A12" s="188" t="inlineStr">
        <is>
          <t>2026-05-02</t>
        </is>
      </c>
      <c r="B12" s="188" t="inlineStr">
        <is>
          <t>Priority Enrichment</t>
        </is>
      </c>
      <c r="C12" s="188" t="inlineStr">
        <is>
          <t>CA Associations</t>
        </is>
      </c>
      <c r="D12" s="188" t="inlineStr">
        <is>
          <t>Codex</t>
        </is>
      </c>
      <c r="E12" s="188" t="inlineStr">
        <is>
          <t>Workbook</t>
        </is>
      </c>
      <c r="F12" s="188" t="inlineStr">
        <is>
          <t>Updated first-wave Bhopal/Indore chair-secretary route from public CIRC office-bearer PDFs</t>
        </is>
      </c>
      <c r="G12" s="188" t="inlineStr">
        <is>
          <t>Send chair/secretary emails today; keep branch inboxes as backup route</t>
        </is>
      </c>
      <c r="H12" s="188" t="inlineStr">
        <is>
          <t>Fnomo Overnight Priority Enrichment</t>
        </is>
      </c>
    </row>
    <row r="13">
      <c r="A13" s="188" t="inlineStr">
        <is>
          <t>2026-05-02</t>
        </is>
      </c>
      <c r="B13" s="188" t="inlineStr">
        <is>
          <t>Outreach Copy Cleanup</t>
        </is>
      </c>
      <c r="C13" s="188" t="inlineStr">
        <is>
          <t>FNOMO_OUTREACH_READY</t>
        </is>
      </c>
      <c r="D13" s="188" t="inlineStr">
        <is>
          <t>Codex</t>
        </is>
      </c>
      <c r="E13" s="188" t="inlineStr">
        <is>
          <t>Workbook</t>
        </is>
      </c>
      <c r="F13" s="188" t="inlineStr">
        <is>
          <t>Rewrote aggregate Tier A owner and CA messages around last wrong decision / validation gap</t>
        </is>
      </c>
      <c r="G13" s="188" t="inlineStr">
        <is>
          <t>Use these as templates; personalize per named contact before sending</t>
        </is>
      </c>
      <c r="H13" s="188" t="inlineStr">
        <is>
          <t>Fnomo Overnight Priority Enrichment</t>
        </is>
      </c>
    </row>
    <row r="14">
      <c r="A14" s="188" t="inlineStr">
        <is>
          <t>2026-05-02</t>
        </is>
      </c>
      <c r="B14" s="188" t="inlineStr">
        <is>
          <t>Priority Enrichment</t>
        </is>
      </c>
      <c r="C14" s="188" t="inlineStr">
        <is>
          <t>CA Associations second-wave routes</t>
        </is>
      </c>
      <c r="D14" s="188" t="inlineStr">
        <is>
          <t>Codex</t>
        </is>
      </c>
      <c r="E14" s="188" t="inlineStr">
        <is>
          <t>Workbook + web</t>
        </is>
      </c>
      <c r="F14" s="188" t="inlineStr">
        <is>
          <t>Added Bhopal/Indore support office-bearer rows with public emails, mobiles, roles, and non-generic decision-gap notes.</t>
        </is>
      </c>
      <c r="G14" s="188" t="inlineStr">
        <is>
          <t>Execute chair/secretary Tier A first; use vice-chair/treasurer/CICASA routes only after first-wave touches or Follow-up 1.</t>
        </is>
      </c>
      <c r="H14" s="188" t="inlineStr">
        <is>
          <t>Fnomo Overnight Priority Enrichment</t>
        </is>
      </c>
    </row>
    <row r="15">
      <c r="A15" s="188" t="inlineStr">
        <is>
          <t>2026-05-02</t>
        </is>
      </c>
      <c r="B15" s="188" t="inlineStr">
        <is>
          <t>Priority Enrichment</t>
        </is>
      </c>
      <c r="C15" s="188" t="inlineStr">
        <is>
          <t>Business Owners &gt;2Cr second-wave owner routes</t>
        </is>
      </c>
      <c r="D15" s="188" t="inlineStr">
        <is>
          <t>Codex</t>
        </is>
      </c>
      <c r="E15" s="188" t="inlineStr">
        <is>
          <t>Workbook + web</t>
        </is>
      </c>
      <c r="F15" s="188" t="inlineStr">
        <is>
          <t>Added named Bhopal owner/retail routes for Parshvnath, Gupta, Kumar, and A Z with public emails/phones and tier discipline.</t>
        </is>
      </c>
      <c r="G15" s="188" t="inlineStr">
        <is>
          <t>Work existing Tier A owner rows first; promote second-wave only when scale or intent is confirmed.</t>
        </is>
      </c>
      <c r="H15" s="188" t="inlineStr">
        <is>
          <t>Fnomo Overnight Priority Enrichment</t>
        </is>
      </c>
    </row>
    <row r="16">
      <c r="A16" s="188" t="inlineStr">
        <is>
          <t>2026-05-02</t>
        </is>
      </c>
      <c r="B16" t="inlineStr">
        <is>
          <t>Priority Enrichment</t>
        </is>
      </c>
      <c r="C16" t="inlineStr">
        <is>
          <t>Business Owners &gt;2Cr industrial expansion</t>
        </is>
      </c>
      <c r="D16" t="inlineStr">
        <is>
          <t>Codex</t>
        </is>
      </c>
      <c r="E16" t="inlineStr">
        <is>
          <t>Workbook + web</t>
        </is>
      </c>
      <c r="F16" t="inlineStr">
        <is>
          <t>Added B.K. Enterprises and S.K. Industries as Tier A industrial owner/director routes; queued Bhadoriya, Mittal Ispat, and MLK as verified next-wave owner contacts.</t>
        </is>
      </c>
      <c r="G16" t="inlineStr">
        <is>
          <t>Execute current Tier A owner list first, then B.K./S.K. today if first-wave sends are logged.</t>
        </is>
      </c>
      <c r="H16" t="inlineStr">
        <is>
          <t>Fnomo Overnight Priority Enrichment</t>
        </is>
      </c>
    </row>
    <row r="17">
      <c r="A17" s="188" t="inlineStr">
        <is>
          <t>2026-05-02</t>
        </is>
      </c>
      <c r="B17" t="inlineStr">
        <is>
          <t>Priority Enrichment</t>
        </is>
      </c>
      <c r="C17" t="inlineStr">
        <is>
          <t>CA Associations district branch expansion</t>
        </is>
      </c>
      <c r="D17" t="inlineStr">
        <is>
          <t>Codex</t>
        </is>
      </c>
      <c r="E17" t="inlineStr">
        <is>
          <t>Workbook + web</t>
        </is>
      </c>
      <c r="F17" t="inlineStr">
        <is>
          <t>Added Ratlam, Mandsaur, Satna, and Neemuch branch/chair/secretary public contact routes with decision-gap notes and Tier B guardrails.</t>
        </is>
      </c>
      <c r="G17" t="inlineStr">
        <is>
          <t>Keep Bhopal/Indore chair-secretary first; use district expansion only after first-wave touches or Follow-up 1.</t>
        </is>
      </c>
      <c r="H17" t="inlineStr">
        <is>
          <t>Fnomo Overnight Priority Enrichment</t>
        </is>
      </c>
    </row>
    <row r="18">
      <c r="A18" s="190" t="inlineStr">
        <is>
          <t>2026-05-02</t>
        </is>
      </c>
      <c r="B18" s="187" t="inlineStr">
        <is>
          <t>Priority Enrichment</t>
        </is>
      </c>
      <c r="C18" s="187" t="inlineStr">
        <is>
          <t>Business Owners &gt;2Cr</t>
        </is>
      </c>
      <c r="D18" s="187" t="inlineStr">
        <is>
          <t>Codex</t>
        </is>
      </c>
      <c r="E18" s="187" t="inlineStr">
        <is>
          <t>Workbook + public web</t>
        </is>
      </c>
      <c r="F18" s="187" t="inlineStr">
        <is>
          <t>Added 5 verified industrial owner/company rows and tightened Tier A send order</t>
        </is>
      </c>
      <c r="G18" s="187" t="inlineStr">
        <is>
          <t>Execute first-wave owner sends, then named industrial Tier A routes; keep generic inboxes behind verified owners</t>
        </is>
      </c>
      <c r="H18" s="187" t="inlineStr">
        <is>
          <t>Fnomo Overnight Priority Enrichment</t>
        </is>
      </c>
    </row>
    <row r="19">
      <c r="A19" s="190" t="inlineStr">
        <is>
          <t>2026-05-02</t>
        </is>
      </c>
      <c r="B19" s="187" t="inlineStr">
        <is>
          <t>Priority Enrichment</t>
        </is>
      </c>
      <c r="C19" s="187" t="inlineStr">
        <is>
          <t>CA Associations</t>
        </is>
      </c>
      <c r="D19" s="187" t="inlineStr">
        <is>
          <t>Codex</t>
        </is>
      </c>
      <c r="E19" s="187" t="inlineStr">
        <is>
          <t>Workbook + ICAI CPE public records</t>
        </is>
      </c>
      <c r="F19" s="187" t="inlineStr">
        <is>
          <t>Added 4 official CPE chapter routes and upgraded Satna official channel</t>
        </is>
      </c>
      <c r="G19" s="187" t="inlineStr">
        <is>
          <t>Send Bhopal/Indore chair-secretary route first; use district/CPE chapter expansion after first-wave touches</t>
        </is>
      </c>
      <c r="H19" s="187" t="inlineStr">
        <is>
          <t>Fnomo Overnight Priority Enrichment</t>
        </is>
      </c>
    </row>
    <row r="20">
      <c r="A20" s="190" t="inlineStr">
        <is>
          <t>2026-05-02</t>
        </is>
      </c>
      <c r="B20" s="187" t="inlineStr">
        <is>
          <t>Priority Enrichment</t>
        </is>
      </c>
      <c r="C20" s="187" t="inlineStr">
        <is>
          <t>Business Owners &gt;2Cr direct-route cleanup</t>
        </is>
      </c>
      <c r="D20" s="187" t="inlineStr">
        <is>
          <t>Codex</t>
        </is>
      </c>
      <c r="E20" s="187" t="inlineStr">
        <is>
          <t>Workbook + public web</t>
        </is>
      </c>
      <c r="F20" s="187" t="inlineStr">
        <is>
          <t>Replaced Enterprising Engineers contact-form-only route with direct K.G./Nitin/Aparna public emails/phones and queued four named GIA industrial contacts.</t>
        </is>
      </c>
      <c r="G20" s="187" t="inlineStr">
        <is>
          <t>Execute Tier A owner sends first; validate fresh GIA rows before promotion.</t>
        </is>
      </c>
      <c r="H20" s="187" t="inlineStr">
        <is>
          <t>Fnomo Overnight Priority Enrichment</t>
        </is>
      </c>
    </row>
    <row r="21">
      <c r="A21" s="190" t="inlineStr">
        <is>
          <t>2026-05-02</t>
        </is>
      </c>
      <c r="B21" s="187" t="inlineStr">
        <is>
          <t>Priority Enrichment</t>
        </is>
      </c>
      <c r="C21" s="187" t="inlineStr">
        <is>
          <t>CA Associations regional route</t>
        </is>
      </c>
      <c r="D21" s="187" t="inlineStr">
        <is>
          <t>Codex</t>
        </is>
      </c>
      <c r="E21" s="187" t="inlineStr">
        <is>
          <t>Workbook + CIRC official contact page</t>
        </is>
      </c>
      <c r="F21" s="187" t="inlineStr">
        <is>
          <t>Added CA Govind Agarwal / CIRC regional office as a direct public routing path without adding new sheets.</t>
        </is>
      </c>
      <c r="G21" s="187" t="inlineStr">
        <is>
          <t>Use only after Bhopal/Indore chair-secretary touches or if local ownership is unclear.</t>
        </is>
      </c>
      <c r="H21" s="187" t="inlineStr">
        <is>
          <t>Fnomo Overnight Priority Enrichment</t>
        </is>
      </c>
    </row>
    <row r="22">
      <c r="A22" s="190" t="inlineStr">
        <is>
          <t>2026-05-02</t>
        </is>
      </c>
      <c r="B22" s="187" t="inlineStr">
        <is>
          <t>Priority Enrichment</t>
        </is>
      </c>
      <c r="C22" s="187" t="inlineStr">
        <is>
          <t>Business Owners &gt;2Cr + CA Associations</t>
        </is>
      </c>
      <c r="D22" s="187" t="inlineStr">
        <is>
          <t>Codex</t>
        </is>
      </c>
      <c r="E22" s="187" t="inlineStr">
        <is>
          <t>Workbook + public web</t>
        </is>
      </c>
      <c r="F22" s="187" t="inlineStr">
        <is>
          <t>Added 4 Tier A public owner/company routes and 2 queued CIRC branch expansion routes; tightened aggregate send order.</t>
        </is>
      </c>
      <c r="G22" s="187" t="inlineStr">
        <is>
          <t>Execute existing Tier A owner and CA first-wave sends; use Raipur/Jaipur only after CA first-wave touches.</t>
        </is>
      </c>
      <c r="H22" s="187" t="inlineStr">
        <is>
          <t>Fnomo Overnight Priority Enrichment</t>
        </is>
      </c>
    </row>
    <row r="23">
      <c r="A23" s="190" t="inlineStr">
        <is>
          <t>2026-05-02</t>
        </is>
      </c>
      <c r="B23" t="inlineStr">
        <is>
          <t>Priority Enrichment</t>
        </is>
      </c>
      <c r="C23" t="inlineStr">
        <is>
          <t>Business Owners &gt;2Cr</t>
        </is>
      </c>
      <c r="D23" t="inlineStr">
        <is>
          <t>Codex</t>
        </is>
      </c>
      <c r="E23" t="inlineStr">
        <is>
          <t>Workbook + public web</t>
        </is>
      </c>
      <c r="F23" t="inlineStr">
        <is>
          <t>Added Righill as Tier A and queued five verified public business-owner routes with named contacts, emails, phones, and decision-gap notes.</t>
        </is>
      </c>
      <c r="G23" t="inlineStr">
        <is>
          <t>Execute existing Tier A owner sends first; use queued public routes only after logging first-wave touches or verifying scale.</t>
        </is>
      </c>
      <c r="H23" t="inlineStr">
        <is>
          <t>Fnomo Overnight Priority Enrichment</t>
        </is>
      </c>
    </row>
    <row r="24">
      <c r="A24" s="190" t="inlineStr">
        <is>
          <t>2026-05-02</t>
        </is>
      </c>
      <c r="B24" t="inlineStr">
        <is>
          <t>Priority Enrichment</t>
        </is>
      </c>
      <c r="C24" t="inlineStr">
        <is>
          <t>CA Associations</t>
        </is>
      </c>
      <c r="D24" t="inlineStr">
        <is>
          <t>Codex</t>
        </is>
      </c>
      <c r="E24" t="inlineStr">
        <is>
          <t>Workbook + CIRC public pages</t>
        </is>
      </c>
      <c r="F24" t="inlineStr">
        <is>
          <t>Added CIRC regional chairman, vice-chairman, and secretary as second-wave escalation routes without distracting from Bhopal/Indore first wave.</t>
        </is>
      </c>
      <c r="G24" t="inlineStr">
        <is>
          <t>Send Bhopal/Indore chair-secretary route first; escalate regionally only if ownership stalls.</t>
        </is>
      </c>
      <c r="H24" t="inlineStr">
        <is>
          <t>Fnomo Overnight Priority Enrichment</t>
        </is>
      </c>
    </row>
    <row r="25">
      <c r="A25" s="190" t="inlineStr">
        <is>
          <t>2026-05-02</t>
        </is>
      </c>
      <c r="B25" t="inlineStr">
        <is>
          <t>Pipeline Hygiene</t>
        </is>
      </c>
      <c r="C25" t="inlineStr">
        <is>
          <t>FNOMO_MASTER_PIPELINE</t>
        </is>
      </c>
      <c r="D25" t="inlineStr">
        <is>
          <t>Codex</t>
        </is>
      </c>
      <c r="E25" t="inlineStr">
        <is>
          <t>Workbook</t>
        </is>
      </c>
      <c r="F25" t="inlineStr">
        <is>
          <t>Backfilled missing Source_Task values on recent enrichment rows and refreshed lead/Tier A/broken-lead KPI counters.</t>
        </is>
      </c>
      <c r="G25" t="inlineStr">
        <is>
          <t>Use updated master rows as the live execution surface.</t>
        </is>
      </c>
      <c r="H25" t="inlineStr">
        <is>
          <t>Fnomo Overnight Priority Enrichment</t>
        </is>
      </c>
    </row>
    <row r="26">
      <c r="A26" s="190" t="inlineStr">
        <is>
          <t>2026-05-02</t>
        </is>
      </c>
      <c r="B26" s="187" t="inlineStr">
        <is>
          <t>Priority Enrichment</t>
        </is>
      </c>
      <c r="C26" s="187" t="inlineStr">
        <is>
          <t>Business Owners &gt;2Cr</t>
        </is>
      </c>
      <c r="D26" s="187" t="inlineStr">
        <is>
          <t>Codex</t>
        </is>
      </c>
      <c r="E26" s="187" t="inlineStr">
        <is>
          <t>Workbook + public web</t>
        </is>
      </c>
      <c r="F26" s="187" t="inlineStr">
        <is>
          <t>Added Kumaran and Kakda as scale-supported Tier A industrial owner routes with public contacts and decision-gap notes.</t>
        </is>
      </c>
      <c r="G26" s="187" t="inlineStr">
        <is>
          <t>Execute existing Tier A owner batch first; then use Kumaran and Kakda without referencing rating stress.</t>
        </is>
      </c>
      <c r="H26" s="187" t="inlineStr">
        <is>
          <t>Fnomo Overnight Priority Enrichment</t>
        </is>
      </c>
    </row>
    <row r="27">
      <c r="A27" s="190" t="inlineStr">
        <is>
          <t>2026-05-02</t>
        </is>
      </c>
      <c r="B27" s="187" t="inlineStr">
        <is>
          <t>Priority Enrichment</t>
        </is>
      </c>
      <c r="C27" s="187" t="inlineStr">
        <is>
          <t>CA Associations</t>
        </is>
      </c>
      <c r="D27" s="187" t="inlineStr">
        <is>
          <t>Codex</t>
        </is>
      </c>
      <c r="E27" s="187" t="inlineStr">
        <is>
          <t>Workbook + CIRC public PDFs</t>
        </is>
      </c>
      <c r="F27" s="187" t="inlineStr">
        <is>
          <t>Added Lucknow and Varanasi 2025-2026 CIRC branch chair/secretary routes as queued expansion.</t>
        </is>
      </c>
      <c r="G27" s="187" t="inlineStr">
        <is>
          <t>Send Bhopal/Indore/CIRC first; use Lucknow/Varanasi only after first-wave CA touches are logged.</t>
        </is>
      </c>
      <c r="H27" s="187" t="inlineStr">
        <is>
          <t>Fnomo Overnight Priority Enrichment</t>
        </is>
      </c>
    </row>
    <row r="28">
      <c r="A28" s="190" t="inlineStr">
        <is>
          <t>2026-05-02</t>
        </is>
      </c>
      <c r="B28" s="187" t="inlineStr">
        <is>
          <t>Pipeline Hygiene</t>
        </is>
      </c>
      <c r="C28" s="187" t="inlineStr">
        <is>
          <t>FNOMO_MASTER_PIPELINE + FNOMO_OUTREACH_READY</t>
        </is>
      </c>
      <c r="D28" s="187" t="inlineStr">
        <is>
          <t>Codex</t>
        </is>
      </c>
      <c r="E28" s="187" t="inlineStr">
        <is>
          <t>Workbook</t>
        </is>
      </c>
      <c r="F28" s="187" t="inlineStr">
        <is>
          <t>Updated aggregate mandate rows, outreach addenda, and KPI counters without adding sheets.</t>
        </is>
      </c>
      <c r="G28" s="187" t="inlineStr">
        <is>
          <t>Use master rows as execution surface; do not promote queued CA expansion before first-wave sends.</t>
        </is>
      </c>
      <c r="H28" s="187" t="inlineStr">
        <is>
          <t>Fnomo Overnight Priority Enrichment</t>
        </is>
      </c>
    </row>
    <row r="29">
      <c r="A29" s="190" t="inlineStr">
        <is>
          <t>2026-05-02</t>
        </is>
      </c>
      <c r="B29" s="187" t="inlineStr">
        <is>
          <t>Priority Contact Enrichment</t>
        </is>
      </c>
      <c r="C29" s="187" t="inlineStr">
        <is>
          <t>Business Owners &gt;2Cr</t>
        </is>
      </c>
      <c r="D29" s="187" t="inlineStr">
        <is>
          <t>Codex</t>
        </is>
      </c>
      <c r="E29" s="187" t="inlineStr">
        <is>
          <t>Workbook + public web</t>
        </is>
      </c>
      <c r="F29" s="187" t="inlineStr">
        <is>
          <t>Filled direct public emails/phones for Righill, Sameer, Kumaran, and Kakda; tightened Tier A/queued send logic</t>
        </is>
      </c>
      <c r="G29" s="187" t="inlineStr">
        <is>
          <t>Log current Tier A owner sends before using refreshed industrial routes</t>
        </is>
      </c>
      <c r="H29" s="187" t="inlineStr">
        <is>
          <t>Fnomo Overnight Priority Enrichment</t>
        </is>
      </c>
    </row>
    <row r="30">
      <c r="A30" s="190" t="inlineStr">
        <is>
          <t>2026-05-02</t>
        </is>
      </c>
      <c r="B30" s="187" t="inlineStr">
        <is>
          <t>Priority Contact Enrichment</t>
        </is>
      </c>
      <c r="C30" s="187" t="inlineStr">
        <is>
          <t>CA Associations</t>
        </is>
      </c>
      <c r="D30" s="187" t="inlineStr">
        <is>
          <t>Codex</t>
        </is>
      </c>
      <c r="E30" s="187" t="inlineStr">
        <is>
          <t>Workbook + CIRC public records</t>
        </is>
      </c>
      <c r="F30" s="187" t="inlineStr">
        <is>
          <t>Filled direct public mobiles/emails for CIRC regional, Lucknow, and Varanasi CA routes</t>
        </is>
      </c>
      <c r="G30" s="187" t="inlineStr">
        <is>
          <t>Keep Bhopal/Indore first; use regional/large branches only after first-wave logging</t>
        </is>
      </c>
      <c r="H30" s="187" t="inlineStr">
        <is>
          <t>Fnomo Overnight Priority Enrichment</t>
        </is>
      </c>
    </row>
    <row r="31">
      <c r="A31" s="190" t="inlineStr">
        <is>
          <t>2026-05-02</t>
        </is>
      </c>
      <c r="B31" s="187" t="inlineStr">
        <is>
          <t>Pipeline Hygiene</t>
        </is>
      </c>
      <c r="C31" s="187" t="inlineStr">
        <is>
          <t>FNOMO_MASTER_PIPELINE</t>
        </is>
      </c>
      <c r="D31" s="187" t="inlineStr">
        <is>
          <t>Codex</t>
        </is>
      </c>
      <c r="E31" s="187" t="inlineStr">
        <is>
          <t>Workbook</t>
        </is>
      </c>
      <c r="F31" s="187" t="inlineStr">
        <is>
          <t>Updated aggregate mandate rows to reflect direct-route cleanup without creating new sheets</t>
        </is>
      </c>
      <c r="G31" s="187" t="inlineStr">
        <is>
          <t>Treat workbook as cleaner execution surface for next send run</t>
        </is>
      </c>
      <c r="H31" s="187" t="inlineStr">
        <is>
          <t>Fnomo Overnight Priority Enrichment</t>
        </is>
      </c>
    </row>
    <row r="32">
      <c r="A32" s="190" t="inlineStr">
        <is>
          <t>2026-05-02</t>
        </is>
      </c>
      <c r="B32" s="187" t="inlineStr">
        <is>
          <t>Priority Enrichment</t>
        </is>
      </c>
      <c r="C32" s="187" t="inlineStr">
        <is>
          <t>Business Owners &gt;2Cr</t>
        </is>
      </c>
      <c r="D32" s="187" t="inlineStr">
        <is>
          <t>Codex</t>
        </is>
      </c>
      <c r="E32" s="187" t="inlineStr">
        <is>
          <t>Workbook + web</t>
        </is>
      </c>
      <c r="F32" s="187" t="inlineStr">
        <is>
          <t>Added 5 public business leadership routes; promoted Parvati, GEI, and C.J. Gelatine as Tier A expansion, queued Autosign/Farmila</t>
        </is>
      </c>
      <c r="G32" s="187" t="inlineStr">
        <is>
          <t>Log existing Tier A sends first, then use listed/manufacturing owner batch without generic inbox blast</t>
        </is>
      </c>
      <c r="H32" s="187" t="inlineStr">
        <is>
          <t>Fnomo Overnight Priority Enrichment</t>
        </is>
      </c>
    </row>
    <row r="33">
      <c r="A33" s="190" t="inlineStr">
        <is>
          <t>2026-05-02</t>
        </is>
      </c>
      <c r="B33" s="187" t="inlineStr">
        <is>
          <t>Priority Enrichment</t>
        </is>
      </c>
      <c r="C33" s="187" t="inlineStr">
        <is>
          <t>CA Associations</t>
        </is>
      </c>
      <c r="D33" s="187" t="inlineStr">
        <is>
          <t>Codex</t>
        </is>
      </c>
      <c r="E33" s="187" t="inlineStr">
        <is>
          <t>Workbook + web</t>
        </is>
      </c>
      <c r="F33" s="187" t="inlineStr">
        <is>
          <t>Confirmed Raipur and Jaipur CIRC chair/secretary direct public routes already present; tightened aggregate CA execution order</t>
        </is>
      </c>
      <c r="G33" s="187" t="inlineStr">
        <is>
          <t>Follow up Bhopal/Indore first; use larger branches only if routing stalls or expansion capacity opens</t>
        </is>
      </c>
      <c r="H33" s="187" t="inlineStr">
        <is>
          <t>Fnomo Overnight Priority Enrichment</t>
        </is>
      </c>
    </row>
    <row r="34">
      <c r="A34" s="190" t="inlineStr">
        <is>
          <t>2026-05-02</t>
        </is>
      </c>
      <c r="B34" s="187" t="inlineStr">
        <is>
          <t>Workbook Hygiene</t>
        </is>
      </c>
      <c r="C34" s="187" t="inlineStr">
        <is>
          <t>FNOMO_MASTER_PIPELINE</t>
        </is>
      </c>
      <c r="D34" s="187" t="inlineStr">
        <is>
          <t>Codex</t>
        </is>
      </c>
      <c r="E34" s="187" t="inlineStr">
        <is>
          <t>Workbook</t>
        </is>
      </c>
      <c r="F34" s="187" t="inlineStr">
        <is>
          <t>Updated aggregate BO/CA mandate rows and outreach addenda without creating sheets</t>
        </is>
      </c>
      <c r="G34" s="187" t="inlineStr">
        <is>
          <t>Keep Tier A rows actioned before promoting queued Tier B routes</t>
        </is>
      </c>
      <c r="H34" s="187" t="inlineStr">
        <is>
          <t>Fnomo Overnight Priority Enrichment</t>
        </is>
      </c>
    </row>
    <row r="35">
      <c r="A35" t="inlineStr">
        <is>
          <t>2026-05-02</t>
        </is>
      </c>
      <c r="B35" t="inlineStr">
        <is>
          <t>WhatsApp Outreach</t>
        </is>
      </c>
      <c r="C35" t="inlineStr">
        <is>
          <t>WhatsApp CA lead batch</t>
        </is>
      </c>
      <c r="D35" t="inlineStr">
        <is>
          <t>Kush</t>
        </is>
      </c>
      <c r="E35" t="inlineStr">
        <is>
          <t>WhatsApp</t>
        </is>
      </c>
      <c r="F35" t="inlineStr">
        <is>
          <t>20 leads marked Contacted from WhatsApp CA lead batch</t>
        </is>
      </c>
      <c r="G35" t="inlineStr">
        <is>
          <t>Follow up on 2026-05-04 if no reply; classify replies immediately</t>
        </is>
      </c>
      <c r="H35" t="inlineStr">
        <is>
          <t>User screenshot / WhatsApp lead batch</t>
        </is>
      </c>
    </row>
    <row r="36">
      <c r="A36" t="inlineStr">
        <is>
          <t>2026-05-02</t>
        </is>
      </c>
      <c r="B36" t="inlineStr">
        <is>
          <t>Pipeline Hygiene</t>
        </is>
      </c>
      <c r="C36" t="inlineStr">
        <is>
          <t>WHATSAPP_CA_LEADS + FNOMO_MASTER_PIPELINE</t>
        </is>
      </c>
      <c r="D36" t="inlineStr">
        <is>
          <t>Codex</t>
        </is>
      </c>
      <c r="E36" t="inlineStr">
        <is>
          <t>Workbook</t>
        </is>
      </c>
      <c r="F36" t="inlineStr">
        <is>
          <t>Separated WhatsApp lead bank from Codex Godmode repo concept and renamed GOD-prefixed lead IDs</t>
        </is>
      </c>
      <c r="G36" t="inlineStr">
        <is>
          <t>Use WHATSAPP_CA_LEADS as raw batch sheet; use FNOMO_MASTER_PIPELINE for follow-up execution</t>
        </is>
      </c>
      <c r="H36" t="inlineStr">
        <is>
          <t>User correction</t>
        </is>
      </c>
    </row>
    <row r="37">
      <c r="A37" t="inlineStr">
        <is>
          <t>2026-05-02</t>
        </is>
      </c>
      <c r="B37" t="inlineStr">
        <is>
          <t>Priority Enrichment</t>
        </is>
      </c>
      <c r="C37" t="inlineStr">
        <is>
          <t>Business Owners &gt;2Cr public owner routes</t>
        </is>
      </c>
      <c r="D37" t="inlineStr">
        <is>
          <t>Codex</t>
        </is>
      </c>
      <c r="E37" t="inlineStr">
        <is>
          <t>Workbook + web</t>
        </is>
      </c>
      <c r="F37" t="inlineStr">
        <is>
          <t>Strengthened Parvati, GEI, C.J. Gelatine, Autosign, and Farmila rows with public emails, phones, named leaders, and stricter send order.</t>
        </is>
      </c>
      <c r="G37" t="inlineStr">
        <is>
          <t>Execute/log current Tier A sends; then use Parvati/GEI/C.J. only as controlled next batch.</t>
        </is>
      </c>
      <c r="H37" t="inlineStr">
        <is>
          <t>Fnomo Overnight Priority Enrichment</t>
        </is>
      </c>
    </row>
    <row r="38">
      <c r="A38" t="inlineStr">
        <is>
          <t>2026-05-02</t>
        </is>
      </c>
      <c r="B38" t="inlineStr">
        <is>
          <t>Priority Enrichment</t>
        </is>
      </c>
      <c r="C38" t="inlineStr">
        <is>
          <t>CA Associations CIRC escalation routes</t>
        </is>
      </c>
      <c r="D38" t="inlineStr">
        <is>
          <t>Codex</t>
        </is>
      </c>
      <c r="E38" t="inlineStr">
        <is>
          <t>Workbook + web</t>
        </is>
      </c>
      <c r="F38" t="inlineStr">
        <is>
          <t>Added Abhay Chhajed, Anand Jain, and Pankaj Shah as public CIRC routing rows without creating new sheets.</t>
        </is>
      </c>
      <c r="G38" t="inlineStr">
        <is>
          <t>Follow up Bhopal/Indore first-wave; use escalation rows only if ownership stalls.</t>
        </is>
      </c>
      <c r="H38" t="inlineStr">
        <is>
          <t>Fnomo Overnight Priority Enrichment</t>
        </is>
      </c>
    </row>
    <row r="39">
      <c r="A39" t="inlineStr">
        <is>
          <t>2026-05-02</t>
        </is>
      </c>
      <c r="B39" t="inlineStr">
        <is>
          <t>Platform Partnership Update</t>
        </is>
      </c>
      <c r="C39" t="inlineStr">
        <is>
          <t>influential_data_for _corporate + FNOMO_MASTER_PIPELINE</t>
        </is>
      </c>
      <c r="D39" t="inlineStr">
        <is>
          <t>Codex</t>
        </is>
      </c>
      <c r="E39" t="inlineStr">
        <is>
          <t>Workbook</t>
        </is>
      </c>
      <c r="F39" t="inlineStr">
        <is>
          <t>Updated 24 platform partnership contacts; contacted=18; not_contacted=6</t>
        </is>
      </c>
      <c r="G39" t="inlineStr">
        <is>
          <t>Work Not Contacted rows first; follow up Contacted rows on 2026-05-04</t>
        </is>
      </c>
      <c r="H39" t="inlineStr">
        <is>
          <t>User provided platform partnership table</t>
        </is>
      </c>
    </row>
    <row r="40">
      <c r="A40" t="inlineStr">
        <is>
          <t>2026-05-02</t>
        </is>
      </c>
      <c r="B40" t="inlineStr">
        <is>
          <t>Priority Enrichment</t>
        </is>
      </c>
      <c r="C40" t="inlineStr">
        <is>
          <t>Business Owners &gt;2Cr / Kakda Rolling Mills</t>
        </is>
      </c>
      <c r="D40" t="inlineStr">
        <is>
          <t>Codex</t>
        </is>
      </c>
      <c r="E40" t="inlineStr">
        <is>
          <t>Workbook + web</t>
        </is>
      </c>
      <c r="F40" t="inlineStr">
        <is>
          <t>Tightened existing Kakda Tier A row with verified N.K./Narendra K. Goel phone route and &gt;2Cr scale proof</t>
        </is>
      </c>
      <c r="G40" t="inlineStr">
        <is>
          <t>Call first after current owner send wave; request correct owner email before written outreach</t>
        </is>
      </c>
      <c r="H40" t="inlineStr">
        <is>
          <t>IndiaIndustry + Brickwork Ratings</t>
        </is>
      </c>
    </row>
    <row r="41">
      <c r="A41" t="inlineStr">
        <is>
          <t>2026-05-02</t>
        </is>
      </c>
      <c r="B41" t="inlineStr">
        <is>
          <t>Priority Enrichment</t>
        </is>
      </c>
      <c r="C41" t="inlineStr">
        <is>
          <t>CA Associations / Bhopal + Indore</t>
        </is>
      </c>
      <c r="D41" t="inlineStr">
        <is>
          <t>Codex</t>
        </is>
      </c>
      <c r="E41" t="inlineStr">
        <is>
          <t>Workbook + web</t>
        </is>
      </c>
      <c r="F41" t="inlineStr">
        <is>
          <t>Updated existing CA rows with live CIRC branch contacts, 2026-27 Indore committee signal, and ex-officio escalation order</t>
        </is>
      </c>
      <c r="G41" t="inlineStr">
        <is>
          <t>Log Bhopal/Indore first-wave follow-ups, then use Samank/Mausam/Samkit routes as controlled escalation</t>
        </is>
      </c>
      <c r="H41" t="inlineStr">
        <is>
          <t>CIRC branch table + FPJ + CIRC ex-officio PDF</t>
        </is>
      </c>
    </row>
    <row r="42">
      <c r="A42" t="inlineStr">
        <is>
          <t>2026-05-02</t>
        </is>
      </c>
      <c r="B42" t="inlineStr">
        <is>
          <t>Outreach Hygiene</t>
        </is>
      </c>
      <c r="C42" t="inlineStr">
        <is>
          <t>FNOMO_OUTREACH_READY CA Associations</t>
        </is>
      </c>
      <c r="D42" t="inlineStr">
        <is>
          <t>Codex</t>
        </is>
      </c>
      <c r="E42" t="inlineStr">
        <is>
          <t>Workbook</t>
        </is>
      </c>
      <c r="F42" t="inlineStr">
        <is>
          <t>Cleaned CA routing list so current branch contacts are present but behind first-wave follow-up discipline</t>
        </is>
      </c>
      <c r="G42" t="inlineStr">
        <is>
          <t>Do not send all routes at once; sequence by trust gateway and logged activity</t>
        </is>
      </c>
      <c r="H42" t="inlineStr">
        <is>
          <t>Fnomo Overnight Priority Enrichment</t>
        </is>
      </c>
    </row>
    <row r="43">
      <c r="A43" t="inlineStr">
        <is>
          <t>2026-05-02</t>
        </is>
      </c>
      <c r="B43" t="inlineStr">
        <is>
          <t>Pipeline Hygiene</t>
        </is>
      </c>
      <c r="C43" t="inlineStr">
        <is>
          <t>CA Associations branch fields</t>
        </is>
      </c>
      <c r="D43" t="inlineStr">
        <is>
          <t>Codex</t>
        </is>
      </c>
      <c r="E43" t="inlineStr">
        <is>
          <t>Workbook</t>
        </is>
      </c>
      <c r="F43" t="inlineStr">
        <is>
          <t>Filled blank branch/company cells on existing CA office-bearer rows so routing is scannable</t>
        </is>
      </c>
      <c r="G43" t="inlineStr">
        <is>
          <t>Use branch field to sequence Bhopal/Indore before district expansions</t>
        </is>
      </c>
      <c r="H43" t="inlineStr">
        <is>
          <t>Fnomo Overnight Priority Enrichment</t>
        </is>
      </c>
    </row>
    <row r="44">
      <c r="A44" t="inlineStr">
        <is>
          <t>2026-05-02</t>
        </is>
      </c>
      <c r="B44" t="inlineStr">
        <is>
          <t>Priority Enrichment</t>
        </is>
      </c>
      <c r="C44" t="inlineStr">
        <is>
          <t>Business Owners &gt;2Cr Tier A routes</t>
        </is>
      </c>
      <c r="D44" t="inlineStr">
        <is>
          <t>Codex</t>
        </is>
      </c>
      <c r="E44" t="inlineStr">
        <is>
          <t>Workbook + web</t>
        </is>
      </c>
      <c r="F44" t="inlineStr">
        <is>
          <t>Refreshed existing Tesla, Righill, Kumaran, and Kakda rows with public direct routes, scale signals, and stricter call/email order.</t>
        </is>
      </c>
      <c r="G44" t="inlineStr">
        <is>
          <t>Log Tier A owner follow-ups first; use Kakda call-first and avoid promoting Tier B rows until owner touches are recorded.</t>
        </is>
      </c>
      <c r="H44" t="inlineStr">
        <is>
          <t>Fnomo Overnight Priority Enrichment</t>
        </is>
      </c>
    </row>
    <row r="45">
      <c r="A45" t="inlineStr">
        <is>
          <t>2026-05-02</t>
        </is>
      </c>
      <c r="B45" t="inlineStr">
        <is>
          <t>Priority Enrichment</t>
        </is>
      </c>
      <c r="C45" t="inlineStr">
        <is>
          <t>CA Associations Tier A routing</t>
        </is>
      </c>
      <c r="D45" t="inlineStr">
        <is>
          <t>Codex</t>
        </is>
      </c>
      <c r="E45" t="inlineStr">
        <is>
          <t>Workbook + web</t>
        </is>
      </c>
      <c r="F45" t="inlineStr">
        <is>
          <t>Reconfirmed Bhopal chair/secretary contacts and promoted Samkit Bhandari as current Indore chairman route from public ICAI/CIRC sources.</t>
        </is>
      </c>
      <c r="G45" t="inlineStr">
        <is>
          <t>Sequence Bhopal follow-up, then Samkit, then CIRC escalation only if branch ownership stalls.</t>
        </is>
      </c>
      <c r="H45" t="inlineStr">
        <is>
          <t>Fnomo Overnight Priority Enrichment</t>
        </is>
      </c>
    </row>
    <row r="46">
      <c r="A46" t="inlineStr">
        <is>
          <t>2026-05-02</t>
        </is>
      </c>
      <c r="B46" t="inlineStr">
        <is>
          <t>Pipeline Hygiene</t>
        </is>
      </c>
      <c r="C46" t="inlineStr">
        <is>
          <t>FNOMO_MASTER_PIPELINE + FNOMO_OUTREACH_READY</t>
        </is>
      </c>
      <c r="D46" t="inlineStr">
        <is>
          <t>Codex</t>
        </is>
      </c>
      <c r="E46" t="inlineStr">
        <is>
          <t>Workbook</t>
        </is>
      </c>
      <c r="F46" t="inlineStr">
        <is>
          <t>Updated 11 existing priority rows without creating sheets or duplicate lead rows.</t>
        </is>
      </c>
      <c r="G46" t="inlineStr">
        <is>
          <t>Keep notes source-backed and next actions send-order specific.</t>
        </is>
      </c>
      <c r="H46" t="inlineStr">
        <is>
          <t>Fnomo Overnight Priority Enrichment</t>
        </is>
      </c>
    </row>
    <row r="47">
      <c r="A47" t="inlineStr">
        <is>
          <t>2026-05-02</t>
        </is>
      </c>
      <c r="B47" t="inlineStr">
        <is>
          <t>Notion Backend Sync</t>
        </is>
      </c>
      <c r="C47" t="inlineStr">
        <is>
          <t>FNOMO_MASTER_PIPELINE</t>
        </is>
      </c>
      <c r="D47" t="inlineStr">
        <is>
          <t>Codex</t>
        </is>
      </c>
      <c r="E47" t="inlineStr">
        <is>
          <t>Notion Internal Integration</t>
        </is>
      </c>
      <c r="F47" t="inlineStr">
        <is>
          <t>Created Notion mirror databases and synced 194 leads plus 42 execution history events</t>
        </is>
      </c>
      <c r="G47" t="inlineStr">
        <is>
          <t>Use stored Notion database IDs for repeat lead and history sync</t>
        </is>
      </c>
      <c r="H47" t="inlineStr">
        <is>
          <t>Codex execution</t>
        </is>
      </c>
    </row>
    <row r="48">
      <c r="A48" t="inlineStr">
        <is>
          <t>2026-05-02</t>
        </is>
      </c>
      <c r="B48" t="inlineStr">
        <is>
          <t>Notion Sync Rule Update</t>
        </is>
      </c>
      <c r="C48" t="inlineStr">
        <is>
          <t>FNOMO_MASTER_PIPELINE</t>
        </is>
      </c>
      <c r="D48" t="inlineStr">
        <is>
          <t>Codex</t>
        </is>
      </c>
      <c r="E48" t="inlineStr">
        <is>
          <t>Notion Internal Integration</t>
        </is>
      </c>
      <c r="F48" t="inlineStr">
        <is>
          <t>Changed Notion lead upsert identity to Name + Company and synced 194 leads without duplicates</t>
        </is>
      </c>
      <c r="G48" t="inlineStr">
        <is>
          <t>Use sheet as source of truth; Notion remains visualization layer</t>
        </is>
      </c>
      <c r="H48" t="inlineStr">
        <is>
          <t>Codex execution</t>
        </is>
      </c>
    </row>
    <row r="49">
      <c r="A49" s="187" t="inlineStr">
        <is>
          <t>2026-05-02</t>
        </is>
      </c>
      <c r="B49" s="187" t="inlineStr">
        <is>
          <t>Priority Enrichment</t>
        </is>
      </c>
      <c r="C49" s="187" t="inlineStr">
        <is>
          <t>CA Associations + Business Owners &gt;2Cr</t>
        </is>
      </c>
      <c r="D49" s="187" t="inlineStr">
        <is>
          <t>Codex</t>
        </is>
      </c>
      <c r="E49" s="187" t="inlineStr">
        <is>
          <t>Workbook</t>
        </is>
      </c>
      <c r="F49" s="187" t="inlineStr">
        <is>
          <t>Refreshed CA official branch routing and tightened BO execution discipline without new sheets or duplicate lead rows</t>
        </is>
      </c>
      <c r="G49" s="187" t="inlineStr">
        <is>
          <t>Log Bhopal/Indore CA follow-ups and verified owner sends before expanding queued routes</t>
        </is>
      </c>
      <c r="H49" s="187" t="inlineStr">
        <is>
          <t>Fnomo overnight automation</t>
        </is>
      </c>
    </row>
    <row r="50">
      <c r="A50" t="inlineStr">
        <is>
          <t>2026-05-02</t>
        </is>
      </c>
      <c r="B50" t="inlineStr">
        <is>
          <t>Priority Hygiene</t>
        </is>
      </c>
      <c r="C50" t="inlineStr">
        <is>
          <t>Business Owners &gt;2Cr</t>
        </is>
      </c>
      <c r="D50" t="inlineStr">
        <is>
          <t>Codex</t>
        </is>
      </c>
      <c r="E50" t="inlineStr">
        <is>
          <t>Workbook + verified public web</t>
        </is>
      </c>
      <c r="F50" t="inlineStr">
        <is>
          <t>Cleaned Tier A owner execution order, corrected stale dates, refreshed Parvati/GEI/C.J. public route notes, and shortened BO outreach operator instructions without adding rows.</t>
        </is>
      </c>
      <c r="G50" t="inlineStr">
        <is>
          <t>Log 2026-05-04 follow-ups first; then send only the unsent Tier A owner routes in order.</t>
        </is>
      </c>
      <c r="H50" t="inlineStr">
        <is>
          <t>Fnomo Overnight Priority Enrichment</t>
        </is>
      </c>
    </row>
    <row r="51">
      <c r="A51" t="inlineStr">
        <is>
          <t>2026-05-02</t>
        </is>
      </c>
      <c r="B51" t="inlineStr">
        <is>
          <t>Priority Hygiene</t>
        </is>
      </c>
      <c r="C51" t="inlineStr">
        <is>
          <t>CA Associations</t>
        </is>
      </c>
      <c r="D51" t="inlineStr">
        <is>
          <t>Codex</t>
        </is>
      </c>
      <c r="E51" t="inlineStr">
        <is>
          <t>Workbook + verified public web</t>
        </is>
      </c>
      <c r="F51" t="inlineStr">
        <is>
          <t>Corrected CA follow-up timing to the 48h rule, reconfirmed CIRC Bhopal/Indore branch-chair routes, and kept regional/central escalation behind logged local ownership.</t>
        </is>
      </c>
      <c r="G51" t="inlineStr">
        <is>
          <t>On 2026-05-04 follow up Arpit/Abhishek first; then use Samank/Mausam/Samkit ownership checks.</t>
        </is>
      </c>
      <c r="H51" t="inlineStr">
        <is>
          <t>Fnomo Overnight Priority Enrichment</t>
        </is>
      </c>
    </row>
    <row r="52">
      <c r="A52" t="inlineStr">
        <is>
          <t>2026-05-02</t>
        </is>
      </c>
      <c r="B52" t="inlineStr">
        <is>
          <t>Outreach Cleanup</t>
        </is>
      </c>
      <c r="C52" t="inlineStr">
        <is>
          <t>FNOMO_OUTREACH_READY</t>
        </is>
      </c>
      <c r="D52" t="inlineStr">
        <is>
          <t>Codex</t>
        </is>
      </c>
      <c r="E52" t="inlineStr">
        <is>
          <t>Workbook + verified public web</t>
        </is>
      </c>
      <c r="F52" t="inlineStr">
        <is>
          <t>Replaced repeated BO/CA addenda with concise Tier A execution instructions and cleaner recipient lists.</t>
        </is>
      </c>
      <c r="G52" t="inlineStr">
        <is>
          <t>Use outreach rows as send-order guides; do not expand Tier B until actions are logged.</t>
        </is>
      </c>
      <c r="H52" t="inlineStr">
        <is>
          <t>Fnomo Overnight Priority Enrichment</t>
        </is>
      </c>
    </row>
    <row r="53">
      <c r="A53" t="inlineStr">
        <is>
          <t>2026-05-02</t>
        </is>
      </c>
      <c r="B53" t="inlineStr">
        <is>
          <t>Priority Hygiene</t>
        </is>
      </c>
      <c r="C53" t="inlineStr">
        <is>
          <t>Business Owners &gt;2Cr</t>
        </is>
      </c>
      <c r="D53" t="inlineStr">
        <is>
          <t>Codex</t>
        </is>
      </c>
      <c r="E53" t="inlineStr">
        <is>
          <t>Workbook + web</t>
        </is>
      </c>
      <c r="F53" t="inlineStr">
        <is>
          <t>Updated existing Tier A owner rows for Perfect World, Sapna, and Yantra with verified public route confidence and sharper decision-gap next actions; no new rows added.</t>
        </is>
      </c>
      <c r="G53" t="inlineStr">
        <is>
          <t>Log 2026-05-04 contacted-owner follow-ups first, then send unsent verified owner routes.</t>
        </is>
      </c>
      <c r="H53" t="inlineStr">
        <is>
          <t>Fnomo Overnight Priority Enrichment</t>
        </is>
      </c>
    </row>
    <row r="54">
      <c r="A54" t="inlineStr">
        <is>
          <t>2026-05-02</t>
        </is>
      </c>
      <c r="B54" t="inlineStr">
        <is>
          <t>Priority Hygiene</t>
        </is>
      </c>
      <c r="C54" t="inlineStr">
        <is>
          <t>CA Associations</t>
        </is>
      </c>
      <c r="D54" t="inlineStr">
        <is>
          <t>Codex</t>
        </is>
      </c>
      <c r="E54" t="inlineStr">
        <is>
          <t>Workbook + web</t>
        </is>
      </c>
      <c r="F54" t="inlineStr">
        <is>
          <t>Updated existing Bhopal/Indore CA rows with current branch-chair, 2025-26 PDF, and 2026-27 Indore handover routing discipline.</t>
        </is>
      </c>
      <c r="G54" t="inlineStr">
        <is>
          <t>Log Arpit/Abhishek Follow-up 1, then use Samank/Mausam/Samkit ownership checks.</t>
        </is>
      </c>
      <c r="H54" t="inlineStr">
        <is>
          <t>Fnomo Overnight Priority Enrichment</t>
        </is>
      </c>
    </row>
    <row r="55">
      <c r="A55" t="inlineStr">
        <is>
          <t>2026-05-02</t>
        </is>
      </c>
      <c r="B55" t="inlineStr">
        <is>
          <t>Outreach Cleanup</t>
        </is>
      </c>
      <c r="C55" t="inlineStr">
        <is>
          <t>FNOMO_OUTREACH_READY</t>
        </is>
      </c>
      <c r="D55" t="inlineStr">
        <is>
          <t>Codex</t>
        </is>
      </c>
      <c r="E55" t="inlineStr">
        <is>
          <t>Workbook</t>
        </is>
      </c>
      <c r="F55" t="inlineStr">
        <is>
          <t>Replaced broad operator addenda with concise Tier A execution order for owner and CA groups.</t>
        </is>
      </c>
      <c r="G55" t="inlineStr">
        <is>
          <t>Keep workbook execution-first; avoid expansion until follow-up history is current.</t>
        </is>
      </c>
      <c r="H55" t="inlineStr">
        <is>
          <t>Fnomo Overnight Priority Enrichment</t>
        </is>
      </c>
    </row>
    <row r="56">
      <c r="A56" t="inlineStr">
        <is>
          <t>2026-05-03</t>
        </is>
      </c>
      <c r="B56" t="inlineStr">
        <is>
          <t>Priority Hygiene</t>
        </is>
      </c>
      <c r="C56" t="inlineStr">
        <is>
          <t>Business Owners &gt;2Cr</t>
        </is>
      </c>
      <c r="D56" t="inlineStr">
        <is>
          <t>Codex</t>
        </is>
      </c>
      <c r="E56" t="inlineStr">
        <is>
          <t>Workbook + web</t>
        </is>
      </c>
      <c r="F56" t="inlineStr">
        <is>
          <t>Refreshed existing Tier A owner/CMD routes and moved unsent second-batch actions behind 2026-05-04 first-wave follow-up logging; no new lead rows added</t>
        </is>
      </c>
      <c r="G56" t="inlineStr">
        <is>
          <t>Log Nahar/Deep/Tirupati/Star Delta/Righill/Kumaran Follow-up 1 before any second-batch owner sends</t>
        </is>
      </c>
      <c r="H56" t="inlineStr">
        <is>
          <t>Fnomo Overnight Priority Enrichment</t>
        </is>
      </c>
    </row>
    <row r="57">
      <c r="A57" t="inlineStr">
        <is>
          <t>2026-05-03</t>
        </is>
      </c>
      <c r="B57" t="inlineStr">
        <is>
          <t>Priority Hygiene</t>
        </is>
      </c>
      <c r="C57" t="inlineStr">
        <is>
          <t>CA Associations</t>
        </is>
      </c>
      <c r="D57" t="inlineStr">
        <is>
          <t>Codex</t>
        </is>
      </c>
      <c r="E57" t="inlineStr">
        <is>
          <t>Workbook + web</t>
        </is>
      </c>
      <c r="F57" t="inlineStr">
        <is>
          <t>Refreshed existing Bhopal/Indore/CIRC branch routes from public CIRC/ICAI materials and tightened ownership/escalation order; no new lead rows added</t>
        </is>
      </c>
      <c r="G57" t="inlineStr">
        <is>
          <t>Log Arpit/Abhishek Follow-up 1, then use Samank/Mausam/Samkit ownership checks only if needed</t>
        </is>
      </c>
      <c r="H57" t="inlineStr">
        <is>
          <t>Fnomo Overnight Priority Enrichment</t>
        </is>
      </c>
    </row>
    <row r="58">
      <c r="A58" t="inlineStr">
        <is>
          <t>2026-05-03</t>
        </is>
      </c>
      <c r="B58" t="inlineStr">
        <is>
          <t>Outreach Cleanup</t>
        </is>
      </c>
      <c r="C58" t="inlineStr">
        <is>
          <t>FNOMO_OUTREACH_READY</t>
        </is>
      </c>
      <c r="D58" t="inlineStr">
        <is>
          <t>Codex</t>
        </is>
      </c>
      <c r="E58" t="inlineStr">
        <is>
          <t>Workbook</t>
        </is>
      </c>
      <c r="F58" t="inlineStr">
        <is>
          <t>Replaced broad addenda with concise Tier A-first operator notes for owner and CA rows</t>
        </is>
      </c>
      <c r="G58" t="inlineStr">
        <is>
          <t>Use outreach sheet as execution order, not expansion list</t>
        </is>
      </c>
      <c r="H58" t="inlineStr">
        <is>
          <t>Fnomo Overnight Priority Enrichment</t>
        </is>
      </c>
    </row>
    <row r="59">
      <c r="A59" t="inlineStr">
        <is>
          <t>2026-05-03</t>
        </is>
      </c>
      <c r="B59" t="inlineStr">
        <is>
          <t>Messaging Test Enforcement</t>
        </is>
      </c>
      <c r="C59" t="inlineStr">
        <is>
          <t>Tier A contacted / no-response cohort</t>
        </is>
      </c>
      <c r="D59" t="inlineStr">
        <is>
          <t>Codex</t>
        </is>
      </c>
      <c r="E59" t="inlineStr">
        <is>
          <t>Workbook + Notion</t>
        </is>
      </c>
      <c r="F59" t="inlineStr">
        <is>
          <t>Tagged Tier A contacted rows for Messaging Test Batch 1 and replaced next action with wrong-decision/confidence-gap trigger.</t>
        </is>
      </c>
      <c r="G59" t="inlineStr">
        <is>
          <t>Send re-engagement messages; target first 5-10 replies before new cold volume.</t>
        </is>
      </c>
    </row>
    <row r="60">
      <c r="A60" t="inlineStr">
        <is>
          <t>2026-05-03</t>
        </is>
      </c>
      <c r="B60" t="inlineStr">
        <is>
          <t>Outreach Trigger Rewrite</t>
        </is>
      </c>
      <c r="C60" t="inlineStr">
        <is>
          <t>CA Messaging Test Batch 1</t>
        </is>
      </c>
      <c r="D60" t="inlineStr">
        <is>
          <t>Codex</t>
        </is>
      </c>
      <c r="E60" t="inlineStr">
        <is>
          <t>Workbook</t>
        </is>
      </c>
      <c r="F60" t="inlineStr">
        <is>
          <t>Replaced CA outreach with client wrong-decision trigger and added confidence-gap Version B.</t>
        </is>
      </c>
      <c r="G60" t="inlineStr">
        <is>
          <t>Send only to contacted Tier A/no-response cohort; target first 5-10 replies.</t>
        </is>
      </c>
      <c r="H60" t="inlineStr">
        <is>
          <t>FNOMO_OUTREACH_READY</t>
        </is>
      </c>
    </row>
    <row r="61">
      <c r="A61" t="inlineStr">
        <is>
          <t>2026-05-03</t>
        </is>
      </c>
      <c r="B61" t="inlineStr">
        <is>
          <t>Current Progress Refresh</t>
        </is>
      </c>
      <c r="C61" t="inlineStr">
        <is>
          <t>FNOMO_CURRENT_PROGRESS + Dashboard</t>
        </is>
      </c>
      <c r="D61" t="inlineStr">
        <is>
          <t>Codex</t>
        </is>
      </c>
      <c r="E61" t="inlineStr">
        <is>
          <t>Workbook</t>
        </is>
      </c>
      <c r="F61" t="inlineStr">
        <is>
          <t>Updated progress based on completed CRM/dashboard/outcome/messaging-test work; no sends or replies were invented.</t>
        </is>
      </c>
      <c r="G61" t="inlineStr">
        <is>
          <t>Execute Messaging Test Batch 1 and refresh after replies.</t>
        </is>
      </c>
      <c r="H61" t="inlineStr">
        <is>
          <t>FNOMO_CURRENT_PROGRESS</t>
        </is>
      </c>
    </row>
    <row r="62">
      <c r="A62" t="inlineStr">
        <is>
          <t>2026-05-03</t>
        </is>
      </c>
      <c r="B62" t="inlineStr">
        <is>
          <t>Priority SLA Cleanup</t>
        </is>
      </c>
      <c r="C62" t="inlineStr">
        <is>
          <t>Business Owners &gt;2Cr</t>
        </is>
      </c>
      <c r="D62" t="inlineStr">
        <is>
          <t>Codex</t>
        </is>
      </c>
      <c r="E62" t="inlineStr">
        <is>
          <t>Workbook + verified public web</t>
        </is>
      </c>
      <c r="F62" t="inlineStr">
        <is>
          <t>Aligned contacted Tier A owner rows to 2026-05-04 Follow-up 1 and added sharper decision-gap asks; no new rows or sheets added</t>
        </is>
      </c>
      <c r="G62" t="inlineStr">
        <is>
          <t>Log contacted-owner follow-ups before second-batch sends</t>
        </is>
      </c>
      <c r="H62" t="inlineStr">
        <is>
          <t>Fnomo Overnight Priority Enrichment</t>
        </is>
      </c>
    </row>
    <row r="63">
      <c r="A63" t="inlineStr">
        <is>
          <t>2026-05-03</t>
        </is>
      </c>
      <c r="B63" t="inlineStr">
        <is>
          <t>CRM Correction</t>
        </is>
      </c>
      <c r="C63" t="inlineStr">
        <is>
          <t>CA Associations / Indore route</t>
        </is>
      </c>
      <c r="D63" t="inlineStr">
        <is>
          <t>Codex</t>
        </is>
      </c>
      <c r="E63" t="inlineStr">
        <is>
          <t>Workbook + verified public web</t>
        </is>
      </c>
      <c r="F63" t="inlineStr">
        <is>
          <t>Corrected Milind/Rajat attribution: Milind is contacted and due Follow-up 1; Rajat is support/waiting until direct send is logged</t>
        </is>
      </c>
      <c r="G63" t="inlineStr">
        <is>
          <t>Follow up Arpit/Abhishek first, then Milind; use Samkit/Mausam only as ownership checks</t>
        </is>
      </c>
      <c r="H63" t="inlineStr">
        <is>
          <t>Fnomo Overnight Priority Enrichment</t>
        </is>
      </c>
    </row>
    <row r="64">
      <c r="A64" t="inlineStr">
        <is>
          <t>2026-05-03</t>
        </is>
      </c>
      <c r="B64" t="inlineStr">
        <is>
          <t>Outreach Cleanup</t>
        </is>
      </c>
      <c r="C64" t="inlineStr">
        <is>
          <t>FNOMO_OUTREACH_READY</t>
        </is>
      </c>
      <c r="D64" t="inlineStr">
        <is>
          <t>Codex</t>
        </is>
      </c>
      <c r="E64" t="inlineStr">
        <is>
          <t>Workbook</t>
        </is>
      </c>
      <c r="F64" t="inlineStr">
        <is>
          <t>Rewrote BO and CA priority rows as 2026-05-04 follow-up-ready messages grounded in decision validation</t>
        </is>
      </c>
      <c r="G64" t="inlineStr">
        <is>
          <t>Use outreach sheet for execution order, not expansion</t>
        </is>
      </c>
      <c r="H64" t="inlineStr">
        <is>
          <t>Fnomo Overnight Priority Enrichment</t>
        </is>
      </c>
    </row>
    <row r="65">
      <c r="A65" t="inlineStr">
        <is>
          <t>2026-05-03</t>
        </is>
      </c>
      <c r="B65" t="inlineStr">
        <is>
          <t>Founder Circle Implementation</t>
        </is>
      </c>
      <c r="C65" t="inlineStr">
        <is>
          <t>India Membership Rs 4,899/year</t>
        </is>
      </c>
      <c r="D65" t="inlineStr">
        <is>
          <t>Codex</t>
        </is>
      </c>
      <c r="E65" t="inlineStr">
        <is>
          <t>Workbook + Notion</t>
        </is>
      </c>
      <c r="F65" t="inlineStr">
        <is>
          <t>Implemented Founder Circle operating layer; tagged 27 existing Messaging Test contacts and added founder outreach/tasks.</t>
        </is>
      </c>
      <c r="G65" t="inlineStr">
        <is>
          <t>Send Founder Circle trigger; target first 5-10 replies before public expansion; shortlist only until reply gate clears.</t>
        </is>
      </c>
      <c r="H65" t="inlineStr">
        <is>
          <t>Founder Circle plan</t>
        </is>
      </c>
    </row>
    <row r="66">
      <c r="A66" t="inlineStr">
        <is>
          <t>2026-05-03</t>
        </is>
      </c>
      <c r="B66" t="inlineStr">
        <is>
          <t>Founder Circle Implementation</t>
        </is>
      </c>
      <c r="C66" t="inlineStr">
        <is>
          <t>India Membership Rs 4,899/year</t>
        </is>
      </c>
      <c r="D66" t="inlineStr">
        <is>
          <t>Codex</t>
        </is>
      </c>
      <c r="E66" t="inlineStr">
        <is>
          <t>Workbook + Notion</t>
        </is>
      </c>
      <c r="F66" t="inlineStr">
        <is>
          <t>Implemented Founder Circle operating layer; tagged 27 existing Messaging Test contacts and added founder outreach/tasks.</t>
        </is>
      </c>
      <c r="G66" t="inlineStr">
        <is>
          <t>Send Founder Circle trigger; target first 5-10 replies before public expansion; shortlist only until reply gate clears.</t>
        </is>
      </c>
      <c r="H66" t="inlineStr">
        <is>
          <t>Founder Circle plan</t>
        </is>
      </c>
    </row>
    <row r="67">
      <c r="A67" t="inlineStr">
        <is>
          <t>2026-05-03</t>
        </is>
      </c>
      <c r="B67" t="inlineStr">
        <is>
          <t>Founder Activation Automation</t>
        </is>
      </c>
      <c r="C67" t="inlineStr">
        <is>
          <t>0-30 day Founder Circle playbook</t>
        </is>
      </c>
      <c r="D67" t="inlineStr">
        <is>
          <t>Codex</t>
        </is>
      </c>
      <c r="E67" t="inlineStr">
        <is>
          <t>Workbook + Notion</t>
        </is>
      </c>
      <c r="F67" t="inlineStr">
        <is>
          <t>Added founder activation dashboard, CRM fields, archetypes, activation tasks, email sequence, proof capture, and advocate loop.</t>
        </is>
      </c>
      <c r="G67" t="inlineStr">
        <is>
          <t>Use after payment; confirm archetype with screening questions, then track activation, usage, testimonial, referrals and advocacy score.</t>
        </is>
      </c>
      <c r="H67" t="inlineStr">
        <is>
          <t>Founder Activation Playbook</t>
        </is>
      </c>
    </row>
    <row r="68">
      <c r="A68" t="inlineStr">
        <is>
          <t>2026-05-03</t>
        </is>
      </c>
      <c r="B68" t="inlineStr">
        <is>
          <t>Sunday Planning Rule</t>
        </is>
      </c>
      <c r="C68" t="inlineStr">
        <is>
          <t>Sunday execution planned for Monday</t>
        </is>
      </c>
      <c r="D68" t="inlineStr">
        <is>
          <t>Codex</t>
        </is>
      </c>
      <c r="E68" t="inlineStr">
        <is>
          <t>Workbook + Notion</t>
        </is>
      </c>
      <c r="F68" t="inlineStr">
        <is>
          <t>Moved Sunday-due execution to 2026-05-04 while keeping Sunday as planning-only. Counts: {'task_rows_moved': 8}.</t>
        </is>
      </c>
      <c r="G68" t="inlineStr">
        <is>
          <t>Use Sunday for next-day planning only; resume outbound execution Monday unless Kush explicitly overrides.</t>
        </is>
      </c>
      <c r="H68" t="inlineStr">
        <is>
          <t>Main chat PA control</t>
        </is>
      </c>
    </row>
    <row r="69">
      <c r="A69" t="inlineStr">
        <is>
          <t>2026-05-03</t>
        </is>
      </c>
      <c r="B69" t="inlineStr">
        <is>
          <t>Priority Enrichment</t>
        </is>
      </c>
      <c r="C69" t="inlineStr">
        <is>
          <t>Business Owners &gt;2Cr + CA Associations</t>
        </is>
      </c>
      <c r="D69" t="inlineStr">
        <is>
          <t>Codex</t>
        </is>
      </c>
      <c r="E69" t="inlineStr">
        <is>
          <t>Workbook + public web</t>
        </is>
      </c>
      <c r="F69" t="inlineStr">
        <is>
          <t>Updated existing rows only: CA branch backup routing, Righill/Kumaran/Kakda support paths, and Parvati/GEI/C.J. Gelatine official contact confidence; no new sheets or low-confidence rows.</t>
        </is>
      </c>
      <c r="G69" t="inlineStr">
        <is>
          <t>On 2026-05-04 log Tier A follow-ups before any expansion; use support routes only if primary elected/owner paths stall.</t>
        </is>
      </c>
      <c r="H69" t="inlineStr">
        <is>
          <t>Fnomo Overnight Priority Enrichment</t>
        </is>
      </c>
    </row>
    <row r="70">
      <c r="A70" t="inlineStr">
        <is>
          <t>2026-05-03</t>
        </is>
      </c>
      <c r="B70" t="inlineStr">
        <is>
          <t>Follow-up 1 Variant Planning</t>
        </is>
      </c>
      <c r="C70" t="inlineStr">
        <is>
          <t>Messaging Test Batch Tier A BO/CA</t>
        </is>
      </c>
      <c r="D70" t="inlineStr">
        <is>
          <t>Codex</t>
        </is>
      </c>
      <c r="E70" t="inlineStr">
        <is>
          <t>Workbook + Notion</t>
        </is>
      </c>
      <c r="F70" t="inlineStr">
        <is>
          <t>Locked Follow-up 1 variants for 22 Tier A BO/CA contacted/no-response leads. Variant counts: {'Follow-up 1 - Process Audit': 15, 'Follow-up 1 - Advisor CA': 5, 'Follow-up 1 - Operator BO': 2}. Platform holds excluded: 5.</t>
        </is>
      </c>
      <c r="G70" t="inlineStr">
        <is>
          <t>Execute on 2026-05-04 only; no Sunday sending.</t>
        </is>
      </c>
      <c r="H70" t="inlineStr">
        <is>
          <t>Main chat PA control</t>
        </is>
      </c>
    </row>
    <row r="71">
      <c r="A71" t="inlineStr">
        <is>
          <t>2026-05-03</t>
        </is>
      </c>
      <c r="B71" t="inlineStr">
        <is>
          <t>Priority Contact Enrichment</t>
        </is>
      </c>
      <c r="C71" t="inlineStr">
        <is>
          <t>Business Owners &gt;2Cr Tier A rows</t>
        </is>
      </c>
      <c r="D71" t="inlineStr">
        <is>
          <t>Codex</t>
        </is>
      </c>
      <c r="E71" t="inlineStr">
        <is>
          <t>Workbook + public web</t>
        </is>
      </c>
      <c r="F71" t="inlineStr">
        <is>
          <t>Updated existing owner/CMD rows with public route confidence, support contacts, and stricter follow-up/call sequence; no new lead rows.</t>
        </is>
      </c>
      <c r="G71" t="inlineStr">
        <is>
          <t>Log 2026-05-04 owner Follow-up 1 before using second-batch routes.</t>
        </is>
      </c>
      <c r="H71" t="inlineStr">
        <is>
          <t>Fnomo Overnight Priority Enrichment</t>
        </is>
      </c>
    </row>
    <row r="72">
      <c r="A72" t="inlineStr">
        <is>
          <t>2026-05-03</t>
        </is>
      </c>
      <c r="B72" t="inlineStr">
        <is>
          <t>Priority Routing Correction</t>
        </is>
      </c>
      <c r="C72" t="inlineStr">
        <is>
          <t>CA Associations Bhopal + Indore</t>
        </is>
      </c>
      <c r="D72" t="inlineStr">
        <is>
          <t>Codex</t>
        </is>
      </c>
      <c r="E72" t="inlineStr">
        <is>
          <t>Workbook + public web</t>
        </is>
      </c>
      <c r="F72" t="inlineStr">
        <is>
          <t>Clarified Bhopal first-wave contacts, Indore 2026-27 handover route, and ownership-check order; no CA blast expansion.</t>
        </is>
      </c>
      <c r="G72" t="inlineStr">
        <is>
          <t>Follow up Arpit/Abhishek first, then Milind; use Samkit/Samank/Mausam only in sequence.</t>
        </is>
      </c>
      <c r="H72" t="inlineStr">
        <is>
          <t>Fnomo Overnight Priority Enrichment</t>
        </is>
      </c>
    </row>
    <row r="73">
      <c r="A73" t="inlineStr">
        <is>
          <t>2026-05-03</t>
        </is>
      </c>
      <c r="B73" t="inlineStr">
        <is>
          <t>Workbook Hygiene</t>
        </is>
      </c>
      <c r="C73" t="inlineStr">
        <is>
          <t>FNOMO_MASTER_PIPELINE / FNOMO_OUTREACH_READY</t>
        </is>
      </c>
      <c r="D73" t="inlineStr">
        <is>
          <t>Codex</t>
        </is>
      </c>
      <c r="E73" t="inlineStr">
        <is>
          <t>Workbook</t>
        </is>
      </c>
      <c r="F73" t="inlineStr">
        <is>
          <t>Kept sheet count unchanged and added operator notes only; no new sheets and no duplicate public-contact rows.</t>
        </is>
      </c>
      <c r="G73" t="inlineStr">
        <is>
          <t>Treat workbook as execution queue, not a research dump.</t>
        </is>
      </c>
      <c r="H73" t="inlineStr">
        <is>
          <t>Fnomo Overnight Priority Enrichment</t>
        </is>
      </c>
    </row>
    <row r="74">
      <c r="A74" t="inlineStr">
        <is>
          <t>2026-05-03</t>
        </is>
      </c>
      <c r="B74" t="inlineStr">
        <is>
          <t>Priority Contact Cleanup</t>
        </is>
      </c>
      <c r="C74" t="inlineStr">
        <is>
          <t>Business Owners &gt;2Cr retail owner routes</t>
        </is>
      </c>
      <c r="D74" t="inlineStr">
        <is>
          <t>Codex</t>
        </is>
      </c>
      <c r="E74" t="inlineStr">
        <is>
          <t>Workbook + public web</t>
        </is>
      </c>
      <c r="F74" t="inlineStr">
        <is>
          <t>Updated existing Novelty, Malvika, and Madam Collection rows with cleaner public contact confidence and no first-wave promotion.</t>
        </is>
      </c>
      <c r="G74" t="inlineStr">
        <is>
          <t>Execute Tier A owner follow-ups first; use retail rows only after logged owner sequence.</t>
        </is>
      </c>
      <c r="H74" t="inlineStr">
        <is>
          <t>Fnomo Overnight Priority Enrichment</t>
        </is>
      </c>
    </row>
    <row r="75">
      <c r="A75" t="inlineStr">
        <is>
          <t>2026-05-03</t>
        </is>
      </c>
      <c r="B75" t="inlineStr">
        <is>
          <t>Priority Routing Cleanup</t>
        </is>
      </c>
      <c r="C75" t="inlineStr">
        <is>
          <t>CA Associations large-branch expansion</t>
        </is>
      </c>
      <c r="D75" t="inlineStr">
        <is>
          <t>Codex</t>
        </is>
      </c>
      <c r="E75" t="inlineStr">
        <is>
          <t>Workbook + public web</t>
        </is>
      </c>
      <c r="F75" t="inlineStr">
        <is>
          <t>Corrected queued Raipur, Jaipur, Lucknow, and Varanasi rows toward 2025-26 office-bearer routes and flagged Varanasi source conflict.</t>
        </is>
      </c>
      <c r="G75" t="inlineStr">
        <is>
          <t>Follow up Bhopal/Indore first; verify Varanasi by branch inbox before any send.</t>
        </is>
      </c>
      <c r="H75" t="inlineStr">
        <is>
          <t>Fnomo Overnight Priority Enrichment</t>
        </is>
      </c>
    </row>
    <row r="76">
      <c r="A76" t="inlineStr">
        <is>
          <t>2026-05-03</t>
        </is>
      </c>
      <c r="B76" t="inlineStr">
        <is>
          <t>Workbook Hygiene</t>
        </is>
      </c>
      <c r="C76" t="inlineStr">
        <is>
          <t>FNOMO_MASTER_PIPELINE / FNOMO_OUTREACH_READY</t>
        </is>
      </c>
      <c r="D76" t="inlineStr">
        <is>
          <t>Codex</t>
        </is>
      </c>
      <c r="E76" t="inlineStr">
        <is>
          <t>Workbook</t>
        </is>
      </c>
      <c r="F76" t="inlineStr">
        <is>
          <t>Updated existing rows only; no new sheets and no duplicate lead rows.</t>
        </is>
      </c>
      <c r="G76" t="inlineStr">
        <is>
          <t>Workbook remains execution queue; do not use research as a substitute for Monday logging.</t>
        </is>
      </c>
      <c r="H76" t="inlineStr">
        <is>
          <t>Fnomo Overnight Priority Enrichment</t>
        </is>
      </c>
    </row>
    <row r="77">
      <c r="A77" t="inlineStr">
        <is>
          <t>2026-05-03</t>
        </is>
      </c>
      <c r="B77" t="inlineStr">
        <is>
          <t>Priority Enrichment</t>
        </is>
      </c>
      <c r="C77" t="inlineStr">
        <is>
          <t>Business Owners &gt;2Cr</t>
        </is>
      </c>
      <c r="D77" t="inlineStr">
        <is>
          <t>Codex</t>
        </is>
      </c>
      <c r="E77" t="inlineStr">
        <is>
          <t>Workbook + web</t>
        </is>
      </c>
      <c r="F77" t="inlineStr">
        <is>
          <t>Refreshed existing Tier A owner/CMD routes for B.K., Electro Auto, T S, Enterprising, Bora, and Hind Pharma; added no new rows</t>
        </is>
      </c>
      <c r="G77" t="inlineStr">
        <is>
          <t>Log 2026-05-04 first-wave Follow-up 1 before second-batch sends</t>
        </is>
      </c>
      <c r="H77" t="inlineStr">
        <is>
          <t>Fnomo Overnight Priority Enrichment</t>
        </is>
      </c>
    </row>
    <row r="78">
      <c r="A78" t="inlineStr">
        <is>
          <t>2026-05-03</t>
        </is>
      </c>
      <c r="B78" t="inlineStr">
        <is>
          <t>Priority Enrichment</t>
        </is>
      </c>
      <c r="C78" t="inlineStr">
        <is>
          <t>CA Associations</t>
        </is>
      </c>
      <c r="D78" t="inlineStr">
        <is>
          <t>Codex</t>
        </is>
      </c>
      <c r="E78" t="inlineStr">
        <is>
          <t>Workbook + web</t>
        </is>
      </c>
      <c r="F78" t="inlineStr">
        <is>
          <t>Reconfirmed Bhopal chair/secretary first-wave, Indore 2026-27 Samkit/Narayan handover, and Govind/CIRC escalation-only route</t>
        </is>
      </c>
      <c r="G78" t="inlineStr">
        <is>
          <t>Log Arpit, Abhishek, then Milind before any CA expansion</t>
        </is>
      </c>
      <c r="H78" t="inlineStr">
        <is>
          <t>Fnomo Overnight Priority Enrichment</t>
        </is>
      </c>
    </row>
    <row r="79">
      <c r="A79" t="inlineStr">
        <is>
          <t>2026-05-03</t>
        </is>
      </c>
      <c r="B79" t="inlineStr">
        <is>
          <t>Workbook Hygiene</t>
        </is>
      </c>
      <c r="C79" t="inlineStr">
        <is>
          <t>FNOMO_MASTER_PIPELINE + FNOMO_OUTREACH_READY</t>
        </is>
      </c>
      <c r="D79" t="inlineStr">
        <is>
          <t>Codex</t>
        </is>
      </c>
      <c r="E79" t="inlineStr">
        <is>
          <t>Workbook</t>
        </is>
      </c>
      <c r="F79" t="inlineStr">
        <is>
          <t>Tightened next actions and operator notes without creating sheets or duplicate leads</t>
        </is>
      </c>
      <c r="G79" t="inlineStr">
        <is>
          <t>Workbook remains execution-first; avoid generic contact noise</t>
        </is>
      </c>
      <c r="H79" t="inlineStr">
        <is>
          <t>Fnomo Overnight Priority Enrichment</t>
        </is>
      </c>
    </row>
    <row r="80">
      <c r="A80" t="inlineStr">
        <is>
          <t>2026-05-03</t>
        </is>
      </c>
      <c r="B80" t="inlineStr">
        <is>
          <t>Priority Enrichment</t>
        </is>
      </c>
      <c r="C80" t="inlineStr">
        <is>
          <t>Business Owners &gt;2Cr</t>
        </is>
      </c>
      <c r="D80" t="inlineStr">
        <is>
          <t>Codex</t>
        </is>
      </c>
      <c r="E80" t="inlineStr">
        <is>
          <t>Workbook + public web</t>
        </is>
      </c>
      <c r="F80" t="inlineStr">
        <is>
          <t>Tightened Tier A owner route confidence for S.K., Tesla, Righill, and Kakda without adding rows</t>
        </is>
      </c>
      <c r="G80" t="inlineStr">
        <is>
          <t>Log 2026-05-04 contacted-owner Follow-up 1 before any second-batch sends</t>
        </is>
      </c>
      <c r="H80" t="inlineStr">
        <is>
          <t>Fnomo Overnight Priority Enrichment</t>
        </is>
      </c>
    </row>
    <row r="81">
      <c r="A81" t="inlineStr">
        <is>
          <t>2026-05-03</t>
        </is>
      </c>
      <c r="B81" t="inlineStr">
        <is>
          <t>Priority Enrichment</t>
        </is>
      </c>
      <c r="C81" t="inlineStr">
        <is>
          <t>CA Associations</t>
        </is>
      </c>
      <c r="D81" t="inlineStr">
        <is>
          <t>Codex</t>
        </is>
      </c>
      <c r="E81" t="inlineStr">
        <is>
          <t>Workbook + public web</t>
        </is>
      </c>
      <c r="F81" t="inlineStr">
        <is>
          <t>Reconfirmed Bhopal/Indore/CIRC hierarchy and kept Raipur queued behind first-wave logs</t>
        </is>
      </c>
      <c r="G81" t="inlineStr">
        <is>
          <t>Log Arpit, Abhishek, and Milind before Samkit/Narayan or CIRC escalation</t>
        </is>
      </c>
      <c r="H81" t="inlineStr">
        <is>
          <t>Fnomo Overnight Priority Enrichment</t>
        </is>
      </c>
    </row>
    <row r="82">
      <c r="A82" t="inlineStr">
        <is>
          <t>2026-05-03</t>
        </is>
      </c>
      <c r="B82" t="inlineStr">
        <is>
          <t>Workbook Hygiene</t>
        </is>
      </c>
      <c r="C82" t="inlineStr">
        <is>
          <t>FNOMO_MASTER_PIPELINE / FNOMO_OUTREACH_READY</t>
        </is>
      </c>
      <c r="D82" t="inlineStr">
        <is>
          <t>Codex</t>
        </is>
      </c>
      <c r="E82" t="inlineStr">
        <is>
          <t>Workbook</t>
        </is>
      </c>
      <c r="F82" t="inlineStr">
        <is>
          <t>Updated existing rows and operator notes only; no new sheets, no lower-confidence expansion</t>
        </is>
      </c>
      <c r="G82" t="inlineStr">
        <is>
          <t>Use workbook as source of truth for 2026-05-04 execution</t>
        </is>
      </c>
      <c r="H82" t="inlineStr">
        <is>
          <t>Fnomo Overnight Priority Enrichment</t>
        </is>
      </c>
    </row>
    <row r="83">
      <c r="A83" t="inlineStr">
        <is>
          <t>2026-05-03</t>
        </is>
      </c>
      <c r="B83" t="inlineStr">
        <is>
          <t>Public Route Enrichment</t>
        </is>
      </c>
      <c r="C83" t="inlineStr">
        <is>
          <t>Business Owners &gt;2Cr</t>
        </is>
      </c>
      <c r="D83" t="inlineStr">
        <is>
          <t>Codex</t>
        </is>
      </c>
      <c r="E83" t="inlineStr">
        <is>
          <t>Workbook + web</t>
        </is>
      </c>
      <c r="F83" t="inlineStr">
        <is>
          <t>Refreshed existing Tier A owner routes for B.K., T S, Cee Dee, and Enterprising without adding new rows</t>
        </is>
      </c>
      <c r="G83" t="inlineStr">
        <is>
          <t>Log 2026-05-04 contacted-owner follow-ups before second-batch sends</t>
        </is>
      </c>
      <c r="H83" t="inlineStr">
        <is>
          <t>Fnomo Overnight Priority Enrichment</t>
        </is>
      </c>
    </row>
    <row r="84">
      <c r="A84" t="inlineStr">
        <is>
          <t>2026-05-03</t>
        </is>
      </c>
      <c r="B84" t="inlineStr">
        <is>
          <t>Public Route Enrichment</t>
        </is>
      </c>
      <c r="C84" t="inlineStr">
        <is>
          <t>CA Associations</t>
        </is>
      </c>
      <c r="D84" t="inlineStr">
        <is>
          <t>Codex</t>
        </is>
      </c>
      <c r="E84" t="inlineStr">
        <is>
          <t>Workbook + web</t>
        </is>
      </c>
      <c r="F84" t="inlineStr">
        <is>
          <t>Reconfirmed Bhopal first-wave, Indore 2026-27 handover, and CIRC escalation hierarchy</t>
        </is>
      </c>
      <c r="G84" t="inlineStr">
        <is>
          <t>Log Arpit/Abhishek then Milind before Samkit/Govind routing</t>
        </is>
      </c>
      <c r="H84" t="inlineStr">
        <is>
          <t>Fnomo Overnight Priority Enrichment</t>
        </is>
      </c>
    </row>
    <row r="85">
      <c r="A85" t="inlineStr">
        <is>
          <t>2026-05-03</t>
        </is>
      </c>
      <c r="B85" t="inlineStr">
        <is>
          <t>Outreach Hygiene</t>
        </is>
      </c>
      <c r="C85" t="inlineStr">
        <is>
          <t>FNOMO_OUTREACH_READY</t>
        </is>
      </c>
      <c r="D85" t="inlineStr">
        <is>
          <t>Codex</t>
        </is>
      </c>
      <c r="E85" t="inlineStr">
        <is>
          <t>Workbook</t>
        </is>
      </c>
      <c r="F85" t="inlineStr">
        <is>
          <t>Compressed repeated BO/CA operator notes into one current execution note per row</t>
        </is>
      </c>
      <c r="G85" t="inlineStr">
        <is>
          <t>Use workbook rows as source of truth for follow-up order</t>
        </is>
      </c>
      <c r="H85" t="inlineStr">
        <is>
          <t>Fnomo Overnight Priority Enrichment</t>
        </is>
      </c>
    </row>
    <row r="86">
      <c r="A86" t="inlineStr">
        <is>
          <t>2026-05-03</t>
        </is>
      </c>
      <c r="B86" t="inlineStr">
        <is>
          <t>BO Contact Quality</t>
        </is>
      </c>
      <c r="C86" t="inlineStr">
        <is>
          <t>Business Owners &gt;2Cr</t>
        </is>
      </c>
      <c r="D86" t="inlineStr">
        <is>
          <t>Codex</t>
        </is>
      </c>
      <c r="E86" t="inlineStr">
        <is>
          <t>Workbook</t>
        </is>
      </c>
      <c r="F86" t="inlineStr">
        <is>
          <t>Refreshed existing Tier A owner rows and queued retail owner rows with verified public contacts, tags, and follow-up guardrails; no new lead rows added.</t>
        </is>
      </c>
      <c r="G86" t="inlineStr">
        <is>
          <t>On 2026-05-04 log first-wave Follow-up 1 before second-batch sends; Kakda remains call-first.</t>
        </is>
      </c>
      <c r="H86" t="inlineStr">
        <is>
          <t>BharatiBiz, official company sites, public business directories, workbook memory</t>
        </is>
      </c>
    </row>
    <row r="87">
      <c r="A87" t="inlineStr">
        <is>
          <t>2026-05-03</t>
        </is>
      </c>
      <c r="B87" t="inlineStr">
        <is>
          <t>CA Route Quality</t>
        </is>
      </c>
      <c r="C87" t="inlineStr">
        <is>
          <t>CA Associations</t>
        </is>
      </c>
      <c r="D87" t="inlineStr">
        <is>
          <t>Codex</t>
        </is>
      </c>
      <c r="E87" t="inlineStr">
        <is>
          <t>Workbook</t>
        </is>
      </c>
      <c r="F87" t="inlineStr">
        <is>
          <t>Reconfirmed Bhopal first-wave, Indore handover, and CIRC escalation hierarchy in existing rows; no CA expansion added.</t>
        </is>
      </c>
      <c r="G87" t="inlineStr">
        <is>
          <t>Execute Arpit/Abhishek first, then Milind; use Samkit/Narayan/Govind only as routed follow-on paths.</t>
        </is>
      </c>
      <c r="H87" t="inlineStr">
        <is>
          <t>CIRC Bhopal PDF, CIRC contact page, FPJ Indore 2026-27 report</t>
        </is>
      </c>
    </row>
    <row r="88">
      <c r="A88" t="inlineStr">
        <is>
          <t>2026-05-03</t>
        </is>
      </c>
      <c r="B88" t="inlineStr">
        <is>
          <t>Outreach Hygiene</t>
        </is>
      </c>
      <c r="C88" t="inlineStr">
        <is>
          <t>FNOMO_OUTREACH_READY</t>
        </is>
      </c>
      <c r="D88" t="inlineStr">
        <is>
          <t>Codex</t>
        </is>
      </c>
      <c r="E88" t="inlineStr">
        <is>
          <t>Workbook</t>
        </is>
      </c>
      <c r="F88" t="inlineStr">
        <is>
          <t>Updated existing BO/CA operator addenda to emphasize execution logging over new volume.</t>
        </is>
      </c>
      <c r="G88" t="inlineStr">
        <is>
          <t>Keep workbook as source of truth; do not add Tier B volume until Tier A outcomes are logged.</t>
        </is>
      </c>
      <c r="H88" t="inlineStr">
        <is>
          <t>Codex execution</t>
        </is>
      </c>
    </row>
    <row r="89">
      <c r="A89" t="inlineStr">
        <is>
          <t>2026-05-03</t>
        </is>
      </c>
      <c r="B89" t="inlineStr">
        <is>
          <t>Priority Enrichment</t>
        </is>
      </c>
      <c r="C89" t="inlineStr">
        <is>
          <t>Business Owners &gt;2Cr Tier A follow-up rows</t>
        </is>
      </c>
      <c r="D89" t="inlineStr">
        <is>
          <t>Codex</t>
        </is>
      </c>
      <c r="E89" t="inlineStr">
        <is>
          <t>Workbook</t>
        </is>
      </c>
      <c r="F89" t="inlineStr">
        <is>
          <t>Refreshed public-source confidence and sharper Follow-up 1 actions for Nahar, Deep, Tirupati, Star Delta, Righill, Kumaran, and B.K.</t>
        </is>
      </c>
      <c r="G89" t="inlineStr">
        <is>
          <t>On 2026-05-04 log Tier A Follow-up 1 outcomes before second-batch sends</t>
        </is>
      </c>
      <c r="H89" t="inlineStr">
        <is>
          <t>Fnomo Overnight Priority Enrichment</t>
        </is>
      </c>
    </row>
    <row r="90">
      <c r="A90" t="inlineStr">
        <is>
          <t>2026-05-03</t>
        </is>
      </c>
      <c r="B90" t="inlineStr">
        <is>
          <t>Priority Enrichment</t>
        </is>
      </c>
      <c r="C90" t="inlineStr">
        <is>
          <t>CA Associations Bhopal/Indore/CIRC rows</t>
        </is>
      </c>
      <c r="D90" t="inlineStr">
        <is>
          <t>Codex</t>
        </is>
      </c>
      <c r="E90" t="inlineStr">
        <is>
          <t>Workbook</t>
        </is>
      </c>
      <c r="F90" t="inlineStr">
        <is>
          <t>Refreshed Bhopal branch phone/staff backups, Samkit/Narayan handover guardrail, and Govind escalation-only route</t>
        </is>
      </c>
      <c r="G90" t="inlineStr">
        <is>
          <t>Send Arpit and Abhishek Follow-up 1 first, then Milind; do not use CIRC escalation unless ownership stalls</t>
        </is>
      </c>
      <c r="H90" t="inlineStr">
        <is>
          <t>Fnomo Overnight Priority Enrichment</t>
        </is>
      </c>
    </row>
    <row r="91">
      <c r="A91" t="inlineStr">
        <is>
          <t>2026-05-03</t>
        </is>
      </c>
      <c r="B91" t="inlineStr">
        <is>
          <t>Outreach Hygiene</t>
        </is>
      </c>
      <c r="C91" t="inlineStr">
        <is>
          <t>FNOMO_OUTREACH_READY BO/CA operator notes</t>
        </is>
      </c>
      <c r="D91" t="inlineStr">
        <is>
          <t>Codex</t>
        </is>
      </c>
      <c r="E91" t="inlineStr">
        <is>
          <t>Workbook</t>
        </is>
      </c>
      <c r="F91" t="inlineStr">
        <is>
          <t>Replaced repeated operator addenda with concise 2026-05-04 execution order and no-expansion guardrail</t>
        </is>
      </c>
      <c r="G91" t="inlineStr">
        <is>
          <t>Keep recipient lists stable until logged outcomes exist</t>
        </is>
      </c>
      <c r="H91" t="inlineStr">
        <is>
          <t>Fnomo Overnight Priority Enrichment</t>
        </is>
      </c>
    </row>
    <row r="92">
      <c r="A92" t="inlineStr">
        <is>
          <t>2026-05-03</t>
        </is>
      </c>
      <c r="B92" t="inlineStr">
        <is>
          <t>Priority Enrichment</t>
        </is>
      </c>
      <c r="C92" t="inlineStr">
        <is>
          <t>Business Owners &gt;2Cr</t>
        </is>
      </c>
      <c r="D92" t="inlineStr">
        <is>
          <t>Codex</t>
        </is>
      </c>
      <c r="E92" t="inlineStr">
        <is>
          <t>Workbook + public web</t>
        </is>
      </c>
      <c r="F92" t="inlineStr">
        <is>
          <t>Compressed duplicated BO contact notes; confirmed Cee Dee MD route, Global Heavy owner gap, and Kakda phone-first route without adding rows</t>
        </is>
      </c>
      <c r="G92" t="inlineStr">
        <is>
          <t>Log 2026-05-04 Tier A Follow-up 1 before second-batch sends; verify Kakda email by phone</t>
        </is>
      </c>
      <c r="H92" t="inlineStr">
        <is>
          <t>Fnomo Overnight Priority Enrichment</t>
        </is>
      </c>
    </row>
    <row r="93">
      <c r="A93" t="inlineStr">
        <is>
          <t>2026-05-03</t>
        </is>
      </c>
      <c r="B93" t="inlineStr">
        <is>
          <t>Priority Enrichment</t>
        </is>
      </c>
      <c r="C93" t="inlineStr">
        <is>
          <t>CA Associations</t>
        </is>
      </c>
      <c r="D93" t="inlineStr">
        <is>
          <t>Codex</t>
        </is>
      </c>
      <c r="E93" t="inlineStr">
        <is>
          <t>Workbook + public web</t>
        </is>
      </c>
      <c r="F93" t="inlineStr">
        <is>
          <t>Compressed CA hierarchy notes; kept Bhopal/Indore first, Samkit/Narayan handover only, and Raipur/Jaipur queued</t>
        </is>
      </c>
      <c r="G93" t="inlineStr">
        <is>
          <t>Execute Arpit/Abhishek then Milind; do not use large branches until MP outcomes are logged</t>
        </is>
      </c>
      <c r="H93" t="inlineStr">
        <is>
          <t>Fnomo Overnight Priority Enrichment</t>
        </is>
      </c>
    </row>
    <row r="94">
      <c r="A94" t="inlineStr">
        <is>
          <t>2026-05-03</t>
        </is>
      </c>
      <c r="B94" t="inlineStr">
        <is>
          <t>Workbook Hygiene</t>
        </is>
      </c>
      <c r="C94" t="inlineStr">
        <is>
          <t>FNOMO_MASTER_PIPELINE + FNOMO_OUTREACH_READY</t>
        </is>
      </c>
      <c r="D94" t="inlineStr">
        <is>
          <t>Codex</t>
        </is>
      </c>
      <c r="E94" t="inlineStr">
        <is>
          <t>Workbook</t>
        </is>
      </c>
      <c r="F94" t="inlineStr">
        <is>
          <t>Updated existing rows and operator addenda only; no new sheets or duplicate lead rows created</t>
        </is>
      </c>
      <c r="G94" t="inlineStr">
        <is>
          <t>Use cleaned workbook rows as source of truth for Monday execution</t>
        </is>
      </c>
      <c r="H94" t="inlineStr">
        <is>
          <t>Fnomo Overnight Priority Enrichment</t>
        </is>
      </c>
    </row>
    <row r="95">
      <c r="A95" t="inlineStr">
        <is>
          <t>2026-05-03</t>
        </is>
      </c>
      <c r="B95" t="inlineStr">
        <is>
          <t>Priority Enrichment</t>
        </is>
      </c>
      <c r="C95" t="inlineStr">
        <is>
          <t>Business Owners &gt;2Cr Tier A rows</t>
        </is>
      </c>
      <c r="D95" t="inlineStr">
        <is>
          <t>Codex</t>
        </is>
      </c>
      <c r="E95" t="inlineStr">
        <is>
          <t>Workbook + public web</t>
        </is>
      </c>
      <c r="F95" t="inlineStr">
        <is>
          <t>Cleaned existing Tier A owner rows with verified public contact routes and sharper Follow-up 1 actions; no new rows or sheets added</t>
        </is>
      </c>
      <c r="G95" t="inlineStr">
        <is>
          <t>Execute/log Nahar, Deep, Tirupati, Star Delta, Righill, Kumaran before second-batch sends</t>
        </is>
      </c>
      <c r="H95" t="inlineStr">
        <is>
          <t>Fnomo Overnight Priority Enrichment</t>
        </is>
      </c>
    </row>
    <row r="96">
      <c r="A96" t="inlineStr">
        <is>
          <t>2026-05-03</t>
        </is>
      </c>
      <c r="B96" t="inlineStr">
        <is>
          <t>Priority Enrichment</t>
        </is>
      </c>
      <c r="C96" t="inlineStr">
        <is>
          <t>CA Associations Tier A rows</t>
        </is>
      </c>
      <c r="D96" t="inlineStr">
        <is>
          <t>Codex</t>
        </is>
      </c>
      <c r="E96" t="inlineStr">
        <is>
          <t>Workbook + public web</t>
        </is>
      </c>
      <c r="F96" t="inlineStr">
        <is>
          <t>Cleaned Bhopal/Indore CA hierarchy with branch-chair, secretary, handover, and escalation guardrails</t>
        </is>
      </c>
      <c r="G96" t="inlineStr">
        <is>
          <t>Execute/log Arpit and Abhishek first, then Milind; use Samkit/CIRC only as routed follow-on</t>
        </is>
      </c>
      <c r="H96" t="inlineStr">
        <is>
          <t>Fnomo Overnight Priority Enrichment</t>
        </is>
      </c>
    </row>
    <row r="97">
      <c r="A97" t="inlineStr">
        <is>
          <t>2026-05-03</t>
        </is>
      </c>
      <c r="B97" t="inlineStr">
        <is>
          <t>Outreach Hygiene</t>
        </is>
      </c>
      <c r="C97" t="inlineStr">
        <is>
          <t>FNOMO_OUTREACH_READY BO/CA operator notes</t>
        </is>
      </c>
      <c r="D97" t="inlineStr">
        <is>
          <t>Codex</t>
        </is>
      </c>
      <c r="E97" t="inlineStr">
        <is>
          <t>Workbook</t>
        </is>
      </c>
      <c r="F97" t="inlineStr">
        <is>
          <t>Replaced noisy repeated addenda with concise execution order for 2026-05-04 Follow-up 1</t>
        </is>
      </c>
      <c r="G97" t="inlineStr">
        <is>
          <t>Keep recipient lists stable until logged outcomes exist</t>
        </is>
      </c>
      <c r="H97" t="inlineStr">
        <is>
          <t>Fnomo Overnight Priority Enrichment</t>
        </is>
      </c>
    </row>
    <row r="98">
      <c r="A98" t="inlineStr">
        <is>
          <t>2026-05-03</t>
        </is>
      </c>
      <c r="B98" t="inlineStr">
        <is>
          <t>Paperclip Orchestration Setup</t>
        </is>
      </c>
      <c r="C98" t="inlineStr">
        <is>
          <t>Fnomo Paperclip Operating System</t>
        </is>
      </c>
      <c r="D98" t="inlineStr">
        <is>
          <t>Codex</t>
        </is>
      </c>
      <c r="E98" t="inlineStr">
        <is>
          <t>Paperclip + Workbook</t>
        </is>
      </c>
      <c r="F98" t="inlineStr">
        <is>
          <t>Installed/verified Paperclip local dashboard, imported PA plus specialist agents, created task types, added system-health monitor, registered Windows Startup auto-start, and recorded Monday follow-up guardrails.</t>
        </is>
      </c>
      <c r="G98" t="inlineStr">
        <is>
          <t>Use Paperclip for orchestration only; verify auto-start after Codex/system restart; execute Monday Follow-up 1 from the workbook source of truth.</t>
        </is>
      </c>
      <c r="H98" t="inlineStr">
        <is>
          <t>Main chat PA control</t>
        </is>
      </c>
    </row>
    <row r="99">
      <c r="A99" t="inlineStr">
        <is>
          <t>2026-05-03</t>
        </is>
      </c>
      <c r="B99" t="inlineStr">
        <is>
          <t>Priority Enrichment</t>
        </is>
      </c>
      <c r="C99" t="inlineStr">
        <is>
          <t>Business Owners &gt;2Cr first-wave routes</t>
        </is>
      </c>
      <c r="D99" t="inlineStr">
        <is>
          <t>Codex</t>
        </is>
      </c>
      <c r="E99" t="inlineStr">
        <is>
          <t>Workbook + verified public web</t>
        </is>
      </c>
      <c r="F99" t="inlineStr">
        <is>
          <t>Updated existing Deep and Kumaran rows with stronger public fallback emails/phones and support-route sequencing; no new leads added.</t>
        </is>
      </c>
      <c r="G99" t="inlineStr">
        <is>
          <t>On 2026-05-04 log Nahar, Deep, Tirupati, Star Delta, Righill, Kumaran Follow-up 1 before using second-batch routes.</t>
        </is>
      </c>
      <c r="H99" t="inlineStr">
        <is>
          <t>Fnomo Overnight Priority Enrichment</t>
        </is>
      </c>
    </row>
    <row r="100">
      <c r="A100" t="inlineStr">
        <is>
          <t>2026-05-03</t>
        </is>
      </c>
      <c r="B100" t="inlineStr">
        <is>
          <t>Priority Enrichment</t>
        </is>
      </c>
      <c r="C100" t="inlineStr">
        <is>
          <t>CA Associations Indore handover</t>
        </is>
      </c>
      <c r="D100" t="inlineStr">
        <is>
          <t>Codex</t>
        </is>
      </c>
      <c r="E100" t="inlineStr">
        <is>
          <t>Workbook + verified public web</t>
        </is>
      </c>
      <c r="F100" t="inlineStr">
        <is>
          <t>Added Narayan Somani direct public route to existing Indore CA handover rows and kept Bhopal/Milind execution order intact.</t>
        </is>
      </c>
      <c r="G100" t="inlineStr">
        <is>
          <t>On 2026-05-04 log Arpit/Abhishek first, then Milind; use Samkit/Narayan only for ownership handover.</t>
        </is>
      </c>
      <c r="H100" t="inlineStr">
        <is>
          <t>Fnomo Overnight Priority Enrichment</t>
        </is>
      </c>
    </row>
    <row r="101">
      <c r="A101" t="inlineStr">
        <is>
          <t>2026-05-03</t>
        </is>
      </c>
      <c r="B101" t="inlineStr">
        <is>
          <t>Outreach Hygiene</t>
        </is>
      </c>
      <c r="C101" t="inlineStr">
        <is>
          <t>FNOMO_OUTREACH_READY BO/CA rows</t>
        </is>
      </c>
      <c r="D101" t="inlineStr">
        <is>
          <t>Codex</t>
        </is>
      </c>
      <c r="E101" t="inlineStr">
        <is>
          <t>Workbook + verified public web</t>
        </is>
      </c>
      <c r="F101" t="inlineStr">
        <is>
          <t>Updated only existing BO and CA outreach-ready rows with current routing addenda and cleaner channel lists.</t>
        </is>
      </c>
      <c r="G101" t="inlineStr">
        <is>
          <t>Execute and log follow-ups before any Tier B expansion.</t>
        </is>
      </c>
      <c r="H101" t="inlineStr">
        <is>
          <t>Fnomo Overnight Priority Enrichment</t>
        </is>
      </c>
    </row>
    <row r="102">
      <c r="A102" t="inlineStr">
        <is>
          <t>2026-05-03</t>
        </is>
      </c>
      <c r="B102" t="inlineStr">
        <is>
          <t>System cleanup</t>
        </is>
      </c>
      <c r="C102" t="inlineStr">
        <is>
          <t>To do tab</t>
        </is>
      </c>
      <c r="D102" t="inlineStr">
        <is>
          <t>Codex</t>
        </is>
      </c>
      <c r="E102" t="inlineStr">
        <is>
          <t>Workbook</t>
        </is>
      </c>
      <c r="F102" t="inlineStr">
        <is>
          <t>Cleaned To do tab; removed Zylker/template spillover; preserved 36 canonical tasks</t>
        </is>
      </c>
      <c r="G102" t="inlineStr">
        <is>
          <t>Use clean execution mandate for Monday planning only</t>
        </is>
      </c>
      <c r="H102" t="inlineStr">
        <is>
          <t>Post-restart system check</t>
        </is>
      </c>
    </row>
    <row r="103">
      <c r="A103" t="inlineStr">
        <is>
          <t>2026-05-03</t>
        </is>
      </c>
      <c r="B103" t="inlineStr">
        <is>
          <t>System health correction</t>
        </is>
      </c>
      <c r="C103" t="inlineStr">
        <is>
          <t>Paperclip FNO-42 / pipeline date hygiene</t>
        </is>
      </c>
      <c r="D103" t="inlineStr">
        <is>
          <t>Codex</t>
        </is>
      </c>
      <c r="E103" t="inlineStr">
        <is>
          <t>Paperclip + Workbook</t>
        </is>
      </c>
      <c r="F103" t="inlineStr">
        <is>
          <t>Created corrective task for 91 active rows missing Last_Contact_Date; no fake dates applied</t>
        </is>
      </c>
      <c r="G103" t="inlineStr">
        <is>
          <t>Run Monday planning audit before outbound execution</t>
        </is>
      </c>
      <c r="H103" t="inlineStr">
        <is>
          <t>Post-restart system check</t>
        </is>
      </c>
    </row>
    <row r="104">
      <c r="A104" t="inlineStr">
        <is>
          <t>2026-05-03</t>
        </is>
      </c>
      <c r="B104" t="inlineStr">
        <is>
          <t>Main Chat Notion Sync</t>
        </is>
      </c>
      <c r="C104" t="inlineStr">
        <is>
          <t>May 4 Tier A priority follow-ups</t>
        </is>
      </c>
      <c r="D104" t="inlineStr">
        <is>
          <t>Codex</t>
        </is>
      </c>
      <c r="E104" t="inlineStr">
        <is>
          <t>Workbook + Notion</t>
        </is>
      </c>
      <c r="F104" t="inlineStr">
        <is>
          <t>Repaired individual Tier A BO/CA follow-up rows to May 4 and synced the priority update into Notion.</t>
        </is>
      </c>
      <c r="G104" t="inlineStr">
        <is>
          <t>Execute May 4 Follow-up 1 first; then log sends/replies back into workbook before broader expansion.</t>
        </is>
      </c>
      <c r="H104" t="inlineStr">
        <is>
          <t>Main chat PA control</t>
        </is>
      </c>
    </row>
  </sheetData>
  <mergeCells count="2">
    <mergeCell ref="A2:H2"/>
    <mergeCell ref="A1:H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P21"/>
  <sheetViews>
    <sheetView workbookViewId="0">
      <pane ySplit="1" topLeftCell="A2" activePane="bottomLeft" state="frozen"/>
      <selection pane="bottomLeft" activeCell="A1" sqref="A1"/>
    </sheetView>
  </sheetViews>
  <sheetFormatPr baseColWidth="8" defaultRowHeight="15"/>
  <cols>
    <col width="14" customWidth="1" style="80" min="1" max="1"/>
    <col width="22" customWidth="1" style="80" min="2" max="2"/>
    <col width="24" customWidth="1" style="80" min="3" max="3"/>
    <col width="34" customWidth="1" style="80" min="4" max="4"/>
    <col width="16" customWidth="1" style="80" min="5" max="5"/>
    <col width="18" customWidth="1" style="80" min="6" max="6"/>
    <col width="34" customWidth="1" style="80" min="7" max="7"/>
    <col width="14" customWidth="1" style="80" min="8" max="8"/>
    <col width="10" customWidth="1" style="80" min="9" max="9"/>
    <col width="14" customWidth="1" style="80" min="10" max="10"/>
    <col width="18" customWidth="1" style="80" min="11" max="11"/>
    <col width="34" customWidth="1" style="80" min="12" max="12"/>
    <col width="18" customWidth="1" style="80" min="13" max="13"/>
    <col width="14" customWidth="1" style="80" min="14" max="14"/>
    <col width="28" customWidth="1" style="80" min="15" max="15"/>
    <col width="56" customWidth="1" style="80" min="16" max="16"/>
  </cols>
  <sheetData>
    <row r="1">
      <c r="A1" s="261" t="inlineStr">
        <is>
          <t>Lead_ID</t>
        </is>
      </c>
      <c r="B1" s="261" t="inlineStr">
        <is>
          <t>Name</t>
        </is>
      </c>
      <c r="C1" s="261" t="inlineStr">
        <is>
          <t>Title</t>
        </is>
      </c>
      <c r="D1" s="261" t="inlineStr">
        <is>
          <t>Company</t>
        </is>
      </c>
      <c r="E1" s="261" t="inlineStr">
        <is>
          <t>City</t>
        </is>
      </c>
      <c r="F1" s="261" t="inlineStr">
        <is>
          <t>WhatsApp</t>
        </is>
      </c>
      <c r="G1" s="261" t="inlineStr">
        <is>
          <t>Email</t>
        </is>
      </c>
      <c r="H1" s="261" t="inlineStr">
        <is>
          <t>Segment</t>
        </is>
      </c>
      <c r="I1" s="261" t="inlineStr">
        <is>
          <t>Tier</t>
        </is>
      </c>
      <c r="J1" s="261" t="inlineStr">
        <is>
          <t>Stage</t>
        </is>
      </c>
      <c r="K1" s="261" t="inlineStr">
        <is>
          <t>Last_Contact_Date</t>
        </is>
      </c>
      <c r="L1" s="261" t="inlineStr">
        <is>
          <t>Next_Action</t>
        </is>
      </c>
      <c r="M1" s="261" t="inlineStr">
        <is>
          <t>Next_Action_Date</t>
        </is>
      </c>
      <c r="N1" s="261" t="inlineStr">
        <is>
          <t>Status</t>
        </is>
      </c>
      <c r="O1" s="261" t="inlineStr">
        <is>
          <t>Source</t>
        </is>
      </c>
      <c r="P1" s="261" t="inlineStr">
        <is>
          <t>Notes</t>
        </is>
      </c>
    </row>
    <row r="2">
      <c r="A2" t="inlineStr">
        <is>
          <t>WA-CA-001</t>
        </is>
      </c>
      <c r="B2" t="inlineStr">
        <is>
          <t>Rajesh Jain</t>
        </is>
      </c>
      <c r="C2" t="inlineStr">
        <is>
          <t>Chartered Accountant</t>
        </is>
      </c>
      <c r="D2" t="inlineStr">
        <is>
          <t>Jain &amp; Associates</t>
        </is>
      </c>
      <c r="E2" t="inlineStr">
        <is>
          <t>Mumbai</t>
        </is>
      </c>
      <c r="F2" t="inlineStr">
        <is>
          <t>91-9820123456</t>
        </is>
      </c>
      <c r="G2" t="inlineStr">
        <is>
          <t>rajesh.jain@jainassociates.in</t>
        </is>
      </c>
      <c r="H2" t="inlineStr">
        <is>
          <t>CA</t>
        </is>
      </c>
      <c r="I2" t="inlineStr">
        <is>
          <t>A</t>
        </is>
      </c>
      <c r="J2" t="inlineStr">
        <is>
          <t>Contacted</t>
        </is>
      </c>
      <c r="K2" t="inlineStr">
        <is>
          <t>2026-05-02</t>
        </is>
      </c>
      <c r="L2" t="inlineStr">
        <is>
          <t>Follow-up 1 via WhatsApp if no reply</t>
        </is>
      </c>
      <c r="M2" t="inlineStr">
        <is>
          <t>2026-05-04</t>
        </is>
      </c>
      <c r="N2" t="inlineStr">
        <is>
          <t>Active</t>
        </is>
      </c>
      <c r="O2" t="inlineStr">
        <is>
          <t>User screenshot WhatsApp batch</t>
        </is>
      </c>
      <c r="P2" t="inlineStr">
        <is>
          <t>Separate lead-bank update; pipeline row mirrors contact status.</t>
        </is>
      </c>
    </row>
    <row r="3">
      <c r="A3" t="inlineStr">
        <is>
          <t>WA-CA-002</t>
        </is>
      </c>
      <c r="B3" t="inlineStr">
        <is>
          <t>Priya Mehta</t>
        </is>
      </c>
      <c r="C3" t="inlineStr">
        <is>
          <t>Senior CA</t>
        </is>
      </c>
      <c r="D3" t="inlineStr">
        <is>
          <t>Mehta Tax Consultants</t>
        </is>
      </c>
      <c r="E3" t="inlineStr">
        <is>
          <t>Delhi</t>
        </is>
      </c>
      <c r="F3" t="inlineStr">
        <is>
          <t>91-9810234567</t>
        </is>
      </c>
      <c r="G3" t="inlineStr">
        <is>
          <t>priya.mehta@mehtatax.com</t>
        </is>
      </c>
      <c r="H3" t="inlineStr">
        <is>
          <t>CA</t>
        </is>
      </c>
      <c r="I3" t="inlineStr">
        <is>
          <t>A</t>
        </is>
      </c>
      <c r="J3" t="inlineStr">
        <is>
          <t>Contacted</t>
        </is>
      </c>
      <c r="K3" t="inlineStr">
        <is>
          <t>2026-05-02</t>
        </is>
      </c>
      <c r="L3" t="inlineStr">
        <is>
          <t>Follow-up 1 via WhatsApp if no reply</t>
        </is>
      </c>
      <c r="M3" t="inlineStr">
        <is>
          <t>2026-05-04</t>
        </is>
      </c>
      <c r="N3" t="inlineStr">
        <is>
          <t>Active</t>
        </is>
      </c>
      <c r="O3" t="inlineStr">
        <is>
          <t>User screenshot WhatsApp batch</t>
        </is>
      </c>
      <c r="P3" t="inlineStr">
        <is>
          <t>Separate lead-bank update; pipeline row mirrors contact status.</t>
        </is>
      </c>
    </row>
    <row r="4">
      <c r="A4" t="inlineStr">
        <is>
          <t>WA-CA-003</t>
        </is>
      </c>
      <c r="B4" t="inlineStr">
        <is>
          <t>Suresh Kumar</t>
        </is>
      </c>
      <c r="C4" t="inlineStr">
        <is>
          <t>Practicing CA</t>
        </is>
      </c>
      <c r="D4" t="inlineStr">
        <is>
          <t>SKR Partners</t>
        </is>
      </c>
      <c r="E4" t="inlineStr">
        <is>
          <t>Bangalore</t>
        </is>
      </c>
      <c r="F4" t="inlineStr">
        <is>
          <t>91-9845678901</t>
        </is>
      </c>
      <c r="G4" t="inlineStr">
        <is>
          <t>suresh@skrpartners.co.in</t>
        </is>
      </c>
      <c r="H4" t="inlineStr">
        <is>
          <t>CA</t>
        </is>
      </c>
      <c r="I4" t="inlineStr">
        <is>
          <t>A</t>
        </is>
      </c>
      <c r="J4" t="inlineStr">
        <is>
          <t>Contacted</t>
        </is>
      </c>
      <c r="K4" t="inlineStr">
        <is>
          <t>2026-05-02</t>
        </is>
      </c>
      <c r="L4" t="inlineStr">
        <is>
          <t>Follow-up 1 via WhatsApp if no reply</t>
        </is>
      </c>
      <c r="M4" t="inlineStr">
        <is>
          <t>2026-05-04</t>
        </is>
      </c>
      <c r="N4" t="inlineStr">
        <is>
          <t>Active</t>
        </is>
      </c>
      <c r="O4" t="inlineStr">
        <is>
          <t>User screenshot WhatsApp batch</t>
        </is>
      </c>
      <c r="P4" t="inlineStr">
        <is>
          <t>Separate lead-bank update; pipeline row mirrors contact status.</t>
        </is>
      </c>
    </row>
    <row r="5">
      <c r="A5" t="inlineStr">
        <is>
          <t>WA-CA-004</t>
        </is>
      </c>
      <c r="B5" t="inlineStr">
        <is>
          <t>Ankita Shah</t>
        </is>
      </c>
      <c r="C5" t="inlineStr">
        <is>
          <t>CA - FCA</t>
        </is>
      </c>
      <c r="D5" t="inlineStr">
        <is>
          <t>Shah Financial Services</t>
        </is>
      </c>
      <c r="E5" t="inlineStr">
        <is>
          <t>Ahmedabad</t>
        </is>
      </c>
      <c r="F5" t="inlineStr">
        <is>
          <t>91-9824567890</t>
        </is>
      </c>
      <c r="G5" t="inlineStr">
        <is>
          <t>ankita.shah@shahfinancial.in</t>
        </is>
      </c>
      <c r="H5" t="inlineStr">
        <is>
          <t>CA</t>
        </is>
      </c>
      <c r="I5" t="inlineStr">
        <is>
          <t>A</t>
        </is>
      </c>
      <c r="J5" t="inlineStr">
        <is>
          <t>Contacted</t>
        </is>
      </c>
      <c r="K5" t="inlineStr">
        <is>
          <t>2026-05-02</t>
        </is>
      </c>
      <c r="L5" t="inlineStr">
        <is>
          <t>Follow-up 1 via WhatsApp if no reply</t>
        </is>
      </c>
      <c r="M5" t="inlineStr">
        <is>
          <t>2026-05-04</t>
        </is>
      </c>
      <c r="N5" t="inlineStr">
        <is>
          <t>Active</t>
        </is>
      </c>
      <c r="O5" t="inlineStr">
        <is>
          <t>User screenshot WhatsApp batch</t>
        </is>
      </c>
      <c r="P5" t="inlineStr">
        <is>
          <t>Separate lead-bank update; pipeline row mirrors contact status.</t>
        </is>
      </c>
    </row>
    <row r="6">
      <c r="A6" t="inlineStr">
        <is>
          <t>WA-CA-005</t>
        </is>
      </c>
      <c r="B6" t="inlineStr">
        <is>
          <t>Vivek Nair</t>
        </is>
      </c>
      <c r="C6" t="inlineStr">
        <is>
          <t>Senior Partner</t>
        </is>
      </c>
      <c r="D6" t="inlineStr">
        <is>
          <t>Nair &amp; Co. Chartered Accountants</t>
        </is>
      </c>
      <c r="E6" t="inlineStr">
        <is>
          <t>Chennai</t>
        </is>
      </c>
      <c r="F6" t="inlineStr">
        <is>
          <t>91-9841234567</t>
        </is>
      </c>
      <c r="G6" t="inlineStr">
        <is>
          <t>vivek@nairandco.in</t>
        </is>
      </c>
      <c r="H6" t="inlineStr">
        <is>
          <t>CA</t>
        </is>
      </c>
      <c r="I6" t="inlineStr">
        <is>
          <t>A</t>
        </is>
      </c>
      <c r="J6" t="inlineStr">
        <is>
          <t>Contacted</t>
        </is>
      </c>
      <c r="K6" t="inlineStr">
        <is>
          <t>2026-05-02</t>
        </is>
      </c>
      <c r="L6" t="inlineStr">
        <is>
          <t>Follow-up 1 via WhatsApp if no reply</t>
        </is>
      </c>
      <c r="M6" t="inlineStr">
        <is>
          <t>2026-05-04</t>
        </is>
      </c>
      <c r="N6" t="inlineStr">
        <is>
          <t>Active</t>
        </is>
      </c>
      <c r="O6" t="inlineStr">
        <is>
          <t>User screenshot WhatsApp batch</t>
        </is>
      </c>
      <c r="P6" t="inlineStr">
        <is>
          <t>Separate lead-bank update; pipeline row mirrors contact status.</t>
        </is>
      </c>
    </row>
    <row r="7">
      <c r="A7" t="inlineStr">
        <is>
          <t>WA-CA-006</t>
        </is>
      </c>
      <c r="B7" t="inlineStr">
        <is>
          <t>Deepa Verma</t>
        </is>
      </c>
      <c r="C7" t="inlineStr">
        <is>
          <t>CA - DISA</t>
        </is>
      </c>
      <c r="D7" t="inlineStr">
        <is>
          <t>Verma Tax Advisory</t>
        </is>
      </c>
      <c r="E7" t="inlineStr">
        <is>
          <t>Pune</t>
        </is>
      </c>
      <c r="F7" t="inlineStr">
        <is>
          <t>91-9823456789</t>
        </is>
      </c>
      <c r="G7" t="inlineStr">
        <is>
          <t>deepa.verma@vermatax.in</t>
        </is>
      </c>
      <c r="H7" t="inlineStr">
        <is>
          <t>CA</t>
        </is>
      </c>
      <c r="I7" t="inlineStr">
        <is>
          <t>A</t>
        </is>
      </c>
      <c r="J7" t="inlineStr">
        <is>
          <t>Contacted</t>
        </is>
      </c>
      <c r="K7" t="inlineStr">
        <is>
          <t>2026-05-02</t>
        </is>
      </c>
      <c r="L7" t="inlineStr">
        <is>
          <t>Follow-up 1 via WhatsApp if no reply</t>
        </is>
      </c>
      <c r="M7" t="inlineStr">
        <is>
          <t>2026-05-04</t>
        </is>
      </c>
      <c r="N7" t="inlineStr">
        <is>
          <t>Active</t>
        </is>
      </c>
      <c r="O7" t="inlineStr">
        <is>
          <t>User screenshot WhatsApp batch</t>
        </is>
      </c>
      <c r="P7" t="inlineStr">
        <is>
          <t>Separate lead-bank update; pipeline row mirrors contact status.</t>
        </is>
      </c>
    </row>
    <row r="8">
      <c r="A8" t="inlineStr">
        <is>
          <t>WA-CA-007</t>
        </is>
      </c>
      <c r="B8" t="inlineStr">
        <is>
          <t>Arun Gupta</t>
        </is>
      </c>
      <c r="C8" t="inlineStr">
        <is>
          <t>Managing Partner</t>
        </is>
      </c>
      <c r="D8" t="inlineStr">
        <is>
          <t>Gupta &amp; Associates</t>
        </is>
      </c>
      <c r="E8" t="inlineStr">
        <is>
          <t>Hyderabad</t>
        </is>
      </c>
      <c r="F8" t="inlineStr">
        <is>
          <t>91-9848901234</t>
        </is>
      </c>
      <c r="G8" t="inlineStr">
        <is>
          <t>arun.gupta@guptaassoc.in</t>
        </is>
      </c>
      <c r="H8" t="inlineStr">
        <is>
          <t>CA</t>
        </is>
      </c>
      <c r="I8" t="inlineStr">
        <is>
          <t>A</t>
        </is>
      </c>
      <c r="J8" t="inlineStr">
        <is>
          <t>Contacted</t>
        </is>
      </c>
      <c r="K8" t="inlineStr">
        <is>
          <t>2026-05-02</t>
        </is>
      </c>
      <c r="L8" t="inlineStr">
        <is>
          <t>Follow-up 1 via WhatsApp if no reply</t>
        </is>
      </c>
      <c r="M8" t="inlineStr">
        <is>
          <t>2026-05-04</t>
        </is>
      </c>
      <c r="N8" t="inlineStr">
        <is>
          <t>Active</t>
        </is>
      </c>
      <c r="O8" t="inlineStr">
        <is>
          <t>User screenshot WhatsApp batch</t>
        </is>
      </c>
      <c r="P8" t="inlineStr">
        <is>
          <t>Separate lead-bank update; pipeline row mirrors contact status.</t>
        </is>
      </c>
    </row>
    <row r="9">
      <c r="A9" t="inlineStr">
        <is>
          <t>WA-CA-008</t>
        </is>
      </c>
      <c r="B9" t="inlineStr">
        <is>
          <t>Meera Krishnan</t>
        </is>
      </c>
      <c r="C9" t="inlineStr">
        <is>
          <t>Chartered Accountant</t>
        </is>
      </c>
      <c r="D9" t="inlineStr">
        <is>
          <t>MK Financial Advisors</t>
        </is>
      </c>
      <c r="E9" t="inlineStr">
        <is>
          <t>Kochi</t>
        </is>
      </c>
      <c r="F9" t="inlineStr">
        <is>
          <t>91-9846789012</t>
        </is>
      </c>
      <c r="G9" t="inlineStr">
        <is>
          <t>meera@mkfinancial.in</t>
        </is>
      </c>
      <c r="H9" t="inlineStr">
        <is>
          <t>CA</t>
        </is>
      </c>
      <c r="I9" t="inlineStr">
        <is>
          <t>A</t>
        </is>
      </c>
      <c r="J9" t="inlineStr">
        <is>
          <t>Contacted</t>
        </is>
      </c>
      <c r="K9" t="inlineStr">
        <is>
          <t>2026-05-02</t>
        </is>
      </c>
      <c r="L9" t="inlineStr">
        <is>
          <t>Follow-up 1 via WhatsApp if no reply</t>
        </is>
      </c>
      <c r="M9" t="inlineStr">
        <is>
          <t>2026-05-04</t>
        </is>
      </c>
      <c r="N9" t="inlineStr">
        <is>
          <t>Active</t>
        </is>
      </c>
      <c r="O9" t="inlineStr">
        <is>
          <t>User screenshot WhatsApp batch</t>
        </is>
      </c>
      <c r="P9" t="inlineStr">
        <is>
          <t>Separate lead-bank update; pipeline row mirrors contact status.</t>
        </is>
      </c>
    </row>
    <row r="10">
      <c r="A10" t="inlineStr">
        <is>
          <t>WA-CA-009</t>
        </is>
      </c>
      <c r="B10" t="inlineStr">
        <is>
          <t>Ravi Shankar</t>
        </is>
      </c>
      <c r="C10" t="inlineStr">
        <is>
          <t>CA Partner</t>
        </is>
      </c>
      <c r="D10" t="inlineStr">
        <is>
          <t>RS Chartered Accountants</t>
        </is>
      </c>
      <c r="E10" t="inlineStr">
        <is>
          <t>Jaipur</t>
        </is>
      </c>
      <c r="F10" t="inlineStr">
        <is>
          <t>91-9829012345</t>
        </is>
      </c>
      <c r="G10" t="inlineStr">
        <is>
          <t>ravi.shankar@rscharteredCA.in</t>
        </is>
      </c>
      <c r="H10" t="inlineStr">
        <is>
          <t>CA</t>
        </is>
      </c>
      <c r="I10" t="inlineStr">
        <is>
          <t>A</t>
        </is>
      </c>
      <c r="J10" t="inlineStr">
        <is>
          <t>Contacted</t>
        </is>
      </c>
      <c r="K10" t="inlineStr">
        <is>
          <t>2026-05-02</t>
        </is>
      </c>
      <c r="L10" t="inlineStr">
        <is>
          <t>Follow-up 1 via WhatsApp if no reply</t>
        </is>
      </c>
      <c r="M10" t="inlineStr">
        <is>
          <t>2026-05-04</t>
        </is>
      </c>
      <c r="N10" t="inlineStr">
        <is>
          <t>Active</t>
        </is>
      </c>
      <c r="O10" t="inlineStr">
        <is>
          <t>User screenshot WhatsApp batch</t>
        </is>
      </c>
      <c r="P10" t="inlineStr">
        <is>
          <t>Separate lead-bank update; pipeline row mirrors contact status.</t>
        </is>
      </c>
    </row>
    <row r="11">
      <c r="A11" t="inlineStr">
        <is>
          <t>WA-CA-010</t>
        </is>
      </c>
      <c r="B11" t="inlineStr">
        <is>
          <t>Nisha Patel</t>
        </is>
      </c>
      <c r="C11" t="inlineStr">
        <is>
          <t>Senior CA</t>
        </is>
      </c>
      <c r="D11" t="inlineStr">
        <is>
          <t>NP Tax Solutions</t>
        </is>
      </c>
      <c r="E11" t="inlineStr">
        <is>
          <t>Surat</t>
        </is>
      </c>
      <c r="F11" t="inlineStr">
        <is>
          <t>91-9825678901</t>
        </is>
      </c>
      <c r="G11" t="inlineStr">
        <is>
          <t>nisha.patel@nptaxsolutions.com</t>
        </is>
      </c>
      <c r="H11" t="inlineStr">
        <is>
          <t>CA</t>
        </is>
      </c>
      <c r="I11" t="inlineStr">
        <is>
          <t>A</t>
        </is>
      </c>
      <c r="J11" t="inlineStr">
        <is>
          <t>Contacted</t>
        </is>
      </c>
      <c r="K11" t="inlineStr">
        <is>
          <t>2026-05-02</t>
        </is>
      </c>
      <c r="L11" t="inlineStr">
        <is>
          <t>Follow-up 1 via WhatsApp if no reply</t>
        </is>
      </c>
      <c r="M11" t="inlineStr">
        <is>
          <t>2026-05-04</t>
        </is>
      </c>
      <c r="N11" t="inlineStr">
        <is>
          <t>Active</t>
        </is>
      </c>
      <c r="O11" t="inlineStr">
        <is>
          <t>User screenshot WhatsApp batch</t>
        </is>
      </c>
      <c r="P11" t="inlineStr">
        <is>
          <t>Separate lead-bank update; pipeline row mirrors contact status.</t>
        </is>
      </c>
    </row>
    <row r="12">
      <c r="A12" t="inlineStr">
        <is>
          <t>WA-BIZ-001</t>
        </is>
      </c>
      <c r="B12" t="inlineStr">
        <is>
          <t>Ramesh Agarwal</t>
        </is>
      </c>
      <c r="C12" t="inlineStr">
        <is>
          <t>Director</t>
        </is>
      </c>
      <c r="D12" t="inlineStr">
        <is>
          <t>Agarwal Traders Pvt Ltd</t>
        </is>
      </c>
      <c r="E12" t="inlineStr">
        <is>
          <t>Indore</t>
        </is>
      </c>
      <c r="F12" t="inlineStr">
        <is>
          <t>91-9826789012</t>
        </is>
      </c>
      <c r="G12" t="inlineStr">
        <is>
          <t>ramesh@agarwaltraders.in</t>
        </is>
      </c>
      <c r="H12" t="inlineStr">
        <is>
          <t>Business</t>
        </is>
      </c>
      <c r="I12" t="inlineStr">
        <is>
          <t>B</t>
        </is>
      </c>
      <c r="J12" t="inlineStr">
        <is>
          <t>Contacted</t>
        </is>
      </c>
      <c r="K12" t="inlineStr">
        <is>
          <t>2026-05-02</t>
        </is>
      </c>
      <c r="L12" t="inlineStr">
        <is>
          <t>Follow-up 1 via WhatsApp if no reply</t>
        </is>
      </c>
      <c r="M12" t="inlineStr">
        <is>
          <t>2026-05-04</t>
        </is>
      </c>
      <c r="N12" t="inlineStr">
        <is>
          <t>Active</t>
        </is>
      </c>
      <c r="O12" t="inlineStr">
        <is>
          <t>User screenshot WhatsApp batch</t>
        </is>
      </c>
      <c r="P12" t="inlineStr">
        <is>
          <t>Separate lead-bank update; pipeline row mirrors contact status.</t>
        </is>
      </c>
    </row>
    <row r="13">
      <c r="A13" t="inlineStr">
        <is>
          <t>WA-BIZ-002</t>
        </is>
      </c>
      <c r="B13" t="inlineStr">
        <is>
          <t>Hiren Shah</t>
        </is>
      </c>
      <c r="C13" t="inlineStr">
        <is>
          <t>Managing Director</t>
        </is>
      </c>
      <c r="D13" t="inlineStr">
        <is>
          <t>Shah Electronics Pvt Ltd</t>
        </is>
      </c>
      <c r="E13" t="inlineStr">
        <is>
          <t>Rajkot</t>
        </is>
      </c>
      <c r="F13" t="inlineStr">
        <is>
          <t>91-9824123456</t>
        </is>
      </c>
      <c r="G13" t="inlineStr">
        <is>
          <t>hiren.shah@shahelectronics.in</t>
        </is>
      </c>
      <c r="H13" t="inlineStr">
        <is>
          <t>Business</t>
        </is>
      </c>
      <c r="I13" t="inlineStr">
        <is>
          <t>B</t>
        </is>
      </c>
      <c r="J13" t="inlineStr">
        <is>
          <t>Contacted</t>
        </is>
      </c>
      <c r="K13" t="inlineStr">
        <is>
          <t>2026-05-02</t>
        </is>
      </c>
      <c r="L13" t="inlineStr">
        <is>
          <t>Follow-up 1 via WhatsApp if no reply</t>
        </is>
      </c>
      <c r="M13" t="inlineStr">
        <is>
          <t>2026-05-04</t>
        </is>
      </c>
      <c r="N13" t="inlineStr">
        <is>
          <t>Active</t>
        </is>
      </c>
      <c r="O13" t="inlineStr">
        <is>
          <t>User screenshot WhatsApp batch</t>
        </is>
      </c>
      <c r="P13" t="inlineStr">
        <is>
          <t>Separate lead-bank update; pipeline row mirrors contact status.</t>
        </is>
      </c>
    </row>
    <row r="14">
      <c r="A14" t="inlineStr">
        <is>
          <t>WA-BIZ-003</t>
        </is>
      </c>
      <c r="B14" t="inlineStr">
        <is>
          <t>Kavita Singh</t>
        </is>
      </c>
      <c r="C14" t="inlineStr">
        <is>
          <t>CEO</t>
        </is>
      </c>
      <c r="D14" t="inlineStr">
        <is>
          <t>KS Logistics Solutions</t>
        </is>
      </c>
      <c r="E14" t="inlineStr">
        <is>
          <t>Nagpur</t>
        </is>
      </c>
      <c r="F14" t="inlineStr">
        <is>
          <t>91-9823901234</t>
        </is>
      </c>
      <c r="G14" t="inlineStr">
        <is>
          <t>kavita@kslogistics.in</t>
        </is>
      </c>
      <c r="H14" t="inlineStr">
        <is>
          <t>Business</t>
        </is>
      </c>
      <c r="I14" t="inlineStr">
        <is>
          <t>B</t>
        </is>
      </c>
      <c r="J14" t="inlineStr">
        <is>
          <t>Contacted</t>
        </is>
      </c>
      <c r="K14" t="inlineStr">
        <is>
          <t>2026-05-02</t>
        </is>
      </c>
      <c r="L14" t="inlineStr">
        <is>
          <t>Follow-up 1 via WhatsApp if no reply</t>
        </is>
      </c>
      <c r="M14" t="inlineStr">
        <is>
          <t>2026-05-04</t>
        </is>
      </c>
      <c r="N14" t="inlineStr">
        <is>
          <t>Active</t>
        </is>
      </c>
      <c r="O14" t="inlineStr">
        <is>
          <t>User screenshot WhatsApp batch</t>
        </is>
      </c>
      <c r="P14" t="inlineStr">
        <is>
          <t>Separate lead-bank update; pipeline row mirrors contact status.</t>
        </is>
      </c>
    </row>
    <row r="15">
      <c r="A15" t="inlineStr">
        <is>
          <t>WA-BIZ-004</t>
        </is>
      </c>
      <c r="B15" t="inlineStr">
        <is>
          <t>Prakash Reddy</t>
        </is>
      </c>
      <c r="C15" t="inlineStr">
        <is>
          <t>Founder</t>
        </is>
      </c>
      <c r="D15" t="inlineStr">
        <is>
          <t>Reddy Agro Exports</t>
        </is>
      </c>
      <c r="E15" t="inlineStr">
        <is>
          <t>Vijayawada</t>
        </is>
      </c>
      <c r="F15" t="inlineStr">
        <is>
          <t>91-9848234567</t>
        </is>
      </c>
      <c r="G15" t="inlineStr">
        <is>
          <t>prakash@reddyagroexports.com</t>
        </is>
      </c>
      <c r="H15" t="inlineStr">
        <is>
          <t>Business</t>
        </is>
      </c>
      <c r="I15" t="inlineStr">
        <is>
          <t>B</t>
        </is>
      </c>
      <c r="J15" t="inlineStr">
        <is>
          <t>Contacted</t>
        </is>
      </c>
      <c r="K15" t="inlineStr">
        <is>
          <t>2026-05-02</t>
        </is>
      </c>
      <c r="L15" t="inlineStr">
        <is>
          <t>Follow-up 1 via WhatsApp if no reply</t>
        </is>
      </c>
      <c r="M15" t="inlineStr">
        <is>
          <t>2026-05-04</t>
        </is>
      </c>
      <c r="N15" t="inlineStr">
        <is>
          <t>Active</t>
        </is>
      </c>
      <c r="O15" t="inlineStr">
        <is>
          <t>User screenshot WhatsApp batch</t>
        </is>
      </c>
      <c r="P15" t="inlineStr">
        <is>
          <t>Separate lead-bank update; pipeline row mirrors contact status.</t>
        </is>
      </c>
    </row>
    <row r="16">
      <c r="A16" t="inlineStr">
        <is>
          <t>WA-BIZ-005</t>
        </is>
      </c>
      <c r="B16" t="inlineStr">
        <is>
          <t>Sunita Joshi</t>
        </is>
      </c>
      <c r="C16" t="inlineStr">
        <is>
          <t>Proprietor</t>
        </is>
      </c>
      <c r="D16" t="inlineStr">
        <is>
          <t>Joshi Pharmaceuticals</t>
        </is>
      </c>
      <c r="E16" t="inlineStr">
        <is>
          <t>Nashik</t>
        </is>
      </c>
      <c r="F16" t="inlineStr">
        <is>
          <t>91-9821345678</t>
        </is>
      </c>
      <c r="G16" t="inlineStr">
        <is>
          <t>sunita@joshipharma.in</t>
        </is>
      </c>
      <c r="H16" t="inlineStr">
        <is>
          <t>Business</t>
        </is>
      </c>
      <c r="I16" t="inlineStr">
        <is>
          <t>B</t>
        </is>
      </c>
      <c r="J16" t="inlineStr">
        <is>
          <t>Contacted</t>
        </is>
      </c>
      <c r="K16" t="inlineStr">
        <is>
          <t>2026-05-02</t>
        </is>
      </c>
      <c r="L16" t="inlineStr">
        <is>
          <t>Follow-up 1 via WhatsApp if no reply</t>
        </is>
      </c>
      <c r="M16" t="inlineStr">
        <is>
          <t>2026-05-04</t>
        </is>
      </c>
      <c r="N16" t="inlineStr">
        <is>
          <t>Active</t>
        </is>
      </c>
      <c r="O16" t="inlineStr">
        <is>
          <t>User screenshot WhatsApp batch</t>
        </is>
      </c>
      <c r="P16" t="inlineStr">
        <is>
          <t>Separate lead-bank update; pipeline row mirrors contact status.</t>
        </is>
      </c>
    </row>
    <row r="17">
      <c r="A17" t="inlineStr">
        <is>
          <t>WA-BIZ-006</t>
        </is>
      </c>
      <c r="B17" t="inlineStr">
        <is>
          <t>Ashok Tiwari</t>
        </is>
      </c>
      <c r="C17" t="inlineStr">
        <is>
          <t>Managing Partner</t>
        </is>
      </c>
      <c r="D17" t="inlineStr">
        <is>
          <t>Tiwari Construction Group</t>
        </is>
      </c>
      <c r="E17" t="inlineStr">
        <is>
          <t>Bhopal</t>
        </is>
      </c>
      <c r="F17" t="inlineStr">
        <is>
          <t>91-9827890123</t>
        </is>
      </c>
      <c r="G17" t="inlineStr">
        <is>
          <t>ashok.tiwari@tiwariconstructions.in</t>
        </is>
      </c>
      <c r="H17" t="inlineStr">
        <is>
          <t>Business</t>
        </is>
      </c>
      <c r="I17" t="inlineStr">
        <is>
          <t>B</t>
        </is>
      </c>
      <c r="J17" t="inlineStr">
        <is>
          <t>Contacted</t>
        </is>
      </c>
      <c r="K17" t="inlineStr">
        <is>
          <t>2026-05-02</t>
        </is>
      </c>
      <c r="L17" t="inlineStr">
        <is>
          <t>Follow-up 1 via WhatsApp if no reply</t>
        </is>
      </c>
      <c r="M17" t="inlineStr">
        <is>
          <t>2026-05-04</t>
        </is>
      </c>
      <c r="N17" t="inlineStr">
        <is>
          <t>Active</t>
        </is>
      </c>
      <c r="O17" t="inlineStr">
        <is>
          <t>User screenshot WhatsApp batch</t>
        </is>
      </c>
      <c r="P17" t="inlineStr">
        <is>
          <t>Separate lead-bank update; pipeline row mirrors contact status.</t>
        </is>
      </c>
    </row>
    <row r="18">
      <c r="A18" t="inlineStr">
        <is>
          <t>WA-BIZ-007</t>
        </is>
      </c>
      <c r="B18" t="inlineStr">
        <is>
          <t>Fatima Merchant</t>
        </is>
      </c>
      <c r="C18" t="inlineStr">
        <is>
          <t>Director</t>
        </is>
      </c>
      <c r="D18" t="inlineStr">
        <is>
          <t>Merchant Textiles Ltd</t>
        </is>
      </c>
      <c r="E18" t="inlineStr">
        <is>
          <t>Surat</t>
        </is>
      </c>
      <c r="F18" t="inlineStr">
        <is>
          <t>91-9825901234</t>
        </is>
      </c>
      <c r="G18" t="inlineStr">
        <is>
          <t>fatima@merchanttextiles.in</t>
        </is>
      </c>
      <c r="H18" t="inlineStr">
        <is>
          <t>Business</t>
        </is>
      </c>
      <c r="I18" t="inlineStr">
        <is>
          <t>B</t>
        </is>
      </c>
      <c r="J18" t="inlineStr">
        <is>
          <t>Contacted</t>
        </is>
      </c>
      <c r="K18" t="inlineStr">
        <is>
          <t>2026-05-02</t>
        </is>
      </c>
      <c r="L18" t="inlineStr">
        <is>
          <t>Follow-up 1 via WhatsApp if no reply</t>
        </is>
      </c>
      <c r="M18" t="inlineStr">
        <is>
          <t>2026-05-04</t>
        </is>
      </c>
      <c r="N18" t="inlineStr">
        <is>
          <t>Active</t>
        </is>
      </c>
      <c r="O18" t="inlineStr">
        <is>
          <t>User screenshot WhatsApp batch</t>
        </is>
      </c>
      <c r="P18" t="inlineStr">
        <is>
          <t>Separate lead-bank update; pipeline row mirrors contact status.</t>
        </is>
      </c>
    </row>
    <row r="19">
      <c r="A19" t="inlineStr">
        <is>
          <t>WA-BIZ-008</t>
        </is>
      </c>
      <c r="B19" t="inlineStr">
        <is>
          <t>Kiran Babu</t>
        </is>
      </c>
      <c r="C19" t="inlineStr">
        <is>
          <t>Chairman</t>
        </is>
      </c>
      <c r="D19" t="inlineStr">
        <is>
          <t>Babu Industries Ltd</t>
        </is>
      </c>
      <c r="E19" t="inlineStr">
        <is>
          <t>Coimbatore</t>
        </is>
      </c>
      <c r="F19" t="inlineStr">
        <is>
          <t>91-9843567890</t>
        </is>
      </c>
      <c r="G19" t="inlineStr">
        <is>
          <t>kiran.babu@babuindustries.in</t>
        </is>
      </c>
      <c r="H19" t="inlineStr">
        <is>
          <t>Business</t>
        </is>
      </c>
      <c r="I19" t="inlineStr">
        <is>
          <t>B</t>
        </is>
      </c>
      <c r="J19" t="inlineStr">
        <is>
          <t>Contacted</t>
        </is>
      </c>
      <c r="K19" t="inlineStr">
        <is>
          <t>2026-05-02</t>
        </is>
      </c>
      <c r="L19" t="inlineStr">
        <is>
          <t>Follow-up 1 via WhatsApp if no reply</t>
        </is>
      </c>
      <c r="M19" t="inlineStr">
        <is>
          <t>2026-05-04</t>
        </is>
      </c>
      <c r="N19" t="inlineStr">
        <is>
          <t>Active</t>
        </is>
      </c>
      <c r="O19" t="inlineStr">
        <is>
          <t>User screenshot WhatsApp batch</t>
        </is>
      </c>
      <c r="P19" t="inlineStr">
        <is>
          <t>Separate lead-bank update; pipeline row mirrors contact status.</t>
        </is>
      </c>
    </row>
    <row r="20">
      <c r="A20" t="inlineStr">
        <is>
          <t>WA-BIZ-009</t>
        </is>
      </c>
      <c r="B20" t="inlineStr">
        <is>
          <t>Manish Khanna</t>
        </is>
      </c>
      <c r="C20" t="inlineStr">
        <is>
          <t>Founder &amp; CEO</t>
        </is>
      </c>
      <c r="D20" t="inlineStr">
        <is>
          <t>Khanna Real Estate Developers</t>
        </is>
      </c>
      <c r="E20" t="inlineStr">
        <is>
          <t>Chandigarh</t>
        </is>
      </c>
      <c r="F20" t="inlineStr">
        <is>
          <t>91-9814678901</t>
        </is>
      </c>
      <c r="G20" t="inlineStr">
        <is>
          <t>manish@khannaestates.in</t>
        </is>
      </c>
      <c r="H20" t="inlineStr">
        <is>
          <t>Business</t>
        </is>
      </c>
      <c r="I20" t="inlineStr">
        <is>
          <t>B</t>
        </is>
      </c>
      <c r="J20" t="inlineStr">
        <is>
          <t>Contacted</t>
        </is>
      </c>
      <c r="K20" t="inlineStr">
        <is>
          <t>2026-05-02</t>
        </is>
      </c>
      <c r="L20" t="inlineStr">
        <is>
          <t>Follow-up 1 via WhatsApp if no reply</t>
        </is>
      </c>
      <c r="M20" t="inlineStr">
        <is>
          <t>2026-05-04</t>
        </is>
      </c>
      <c r="N20" t="inlineStr">
        <is>
          <t>Active</t>
        </is>
      </c>
      <c r="O20" t="inlineStr">
        <is>
          <t>User screenshot WhatsApp batch</t>
        </is>
      </c>
      <c r="P20" t="inlineStr">
        <is>
          <t>Separate lead-bank update; pipeline row mirrors contact status.</t>
        </is>
      </c>
    </row>
    <row r="21">
      <c r="A21" t="inlineStr">
        <is>
          <t>WA-BIZ-010</t>
        </is>
      </c>
      <c r="B21" t="inlineStr">
        <is>
          <t>Geeta Pandey</t>
        </is>
      </c>
      <c r="C21" t="inlineStr">
        <is>
          <t>Director</t>
        </is>
      </c>
      <c r="D21" t="inlineStr">
        <is>
          <t>Pandey Food Processing</t>
        </is>
      </c>
      <c r="E21" t="inlineStr">
        <is>
          <t>Lucknow</t>
        </is>
      </c>
      <c r="F21" t="inlineStr">
        <is>
          <t>91-9812345678</t>
        </is>
      </c>
      <c r="G21" t="inlineStr">
        <is>
          <t>geeta.pandey@pandeyfoods.in</t>
        </is>
      </c>
      <c r="H21" t="inlineStr">
        <is>
          <t>Business</t>
        </is>
      </c>
      <c r="I21" t="inlineStr">
        <is>
          <t>B</t>
        </is>
      </c>
      <c r="J21" t="inlineStr">
        <is>
          <t>Contacted</t>
        </is>
      </c>
      <c r="K21" t="inlineStr">
        <is>
          <t>2026-05-02</t>
        </is>
      </c>
      <c r="L21" t="inlineStr">
        <is>
          <t>Follow-up 1 via WhatsApp if no reply</t>
        </is>
      </c>
      <c r="M21" t="inlineStr">
        <is>
          <t>2026-05-04</t>
        </is>
      </c>
      <c r="N21" t="inlineStr">
        <is>
          <t>Active</t>
        </is>
      </c>
      <c r="O21" t="inlineStr">
        <is>
          <t>User screenshot WhatsApp batch</t>
        </is>
      </c>
      <c r="P21" t="inlineStr">
        <is>
          <t>Separate lead-bank update; pipeline row mirrors contact status.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28" customWidth="1" style="80" min="1" max="1"/>
    <col width="18" customWidth="1" style="80" min="2" max="2"/>
    <col width="48" customWidth="1" style="80" min="3" max="3"/>
    <col width="34" customWidth="1" style="80" min="4" max="4"/>
    <col width="48" customWidth="1" style="80" min="5" max="5"/>
  </cols>
  <sheetData>
    <row r="1">
      <c r="A1" s="273" t="inlineStr">
        <is>
          <t>FOUNDER CIRCLE ACTIVATION DASHBOARD</t>
        </is>
      </c>
    </row>
    <row r="2">
      <c r="A2" t="inlineStr">
        <is>
          <t>Updated 2026-05-03. Usage -&gt; realization -&gt; proof -&gt; advocacy -&gt; growth.</t>
        </is>
      </c>
    </row>
    <row r="4">
      <c r="A4" s="267" t="inlineStr">
        <is>
          <t>Metric</t>
        </is>
      </c>
      <c r="B4" s="267" t="inlineStr">
        <is>
          <t>Target</t>
        </is>
      </c>
      <c r="C4" s="267" t="inlineStr">
        <is>
          <t>Current Source</t>
        </is>
      </c>
      <c r="D4" s="267" t="inlineStr">
        <is>
          <t>Control</t>
        </is>
      </c>
    </row>
    <row r="5">
      <c r="A5" s="272" t="inlineStr">
        <is>
          <t>Week 1 activation</t>
        </is>
      </c>
      <c r="B5" s="272" t="inlineStr">
        <is>
          <t>70%</t>
        </is>
      </c>
      <c r="C5" s="272" t="inlineStr">
        <is>
          <t>Founder Activation checkbox</t>
        </is>
      </c>
      <c r="D5" s="272" t="inlineStr">
        <is>
          <t>Ask current decision on Day 1</t>
        </is>
      </c>
    </row>
    <row r="6">
      <c r="A6" s="272" t="inlineStr">
        <is>
          <t>Week 1 usage</t>
        </is>
      </c>
      <c r="B6" s="272" t="inlineStr">
        <is>
          <t>50%</t>
        </is>
      </c>
      <c r="C6" s="272" t="inlineStr">
        <is>
          <t>Validation Used checkbox</t>
        </is>
      </c>
      <c r="D6" s="272" t="inlineStr">
        <is>
          <t>Prompt validation before next action</t>
        </is>
      </c>
    </row>
    <row r="7">
      <c r="A7" s="268" t="inlineStr">
        <is>
          <t>Day 30 testimonials</t>
        </is>
      </c>
      <c r="B7" s="268" t="inlineStr">
        <is>
          <t>50%</t>
        </is>
      </c>
      <c r="C7" s="268" t="inlineStr">
        <is>
          <t>Testimonial Captured checkbox</t>
        </is>
      </c>
      <c r="D7" s="268" t="inlineStr">
        <is>
          <t>Ask after first value moment</t>
        </is>
      </c>
    </row>
    <row r="8">
      <c r="A8" s="268" t="inlineStr">
        <is>
          <t>Referral participation</t>
        </is>
      </c>
      <c r="B8" s="268" t="inlineStr">
        <is>
          <t>40%</t>
        </is>
      </c>
      <c r="C8" s="268" t="inlineStr">
        <is>
          <t>Referrals Count</t>
        </is>
      </c>
      <c r="D8" s="268" t="inlineStr">
        <is>
          <t>Ask who else faces this problem</t>
        </is>
      </c>
    </row>
    <row r="9">
      <c r="A9" s="268" t="inlineStr">
        <is>
          <t>Advocates</t>
        </is>
      </c>
      <c r="B9" s="268" t="inlineStr">
        <is>
          <t>20-30%</t>
        </is>
      </c>
      <c r="C9" s="268" t="inlineStr">
        <is>
          <t>Advocacy Score &gt;= 4</t>
        </is>
      </c>
      <c r="D9" s="268" t="inlineStr">
        <is>
          <t>Recognize status, not discount</t>
        </is>
      </c>
    </row>
    <row r="12">
      <c r="A12" s="267" t="inlineStr">
        <is>
          <t>Founder Checklist</t>
        </is>
      </c>
      <c r="B12" s="267" t="inlineStr">
        <is>
          <t>Deadline</t>
        </is>
      </c>
      <c r="C12" s="267" t="inlineStr">
        <is>
          <t>Reward</t>
        </is>
      </c>
      <c r="D12" s="267" t="inlineStr">
        <is>
          <t>CRM Field</t>
        </is>
      </c>
    </row>
    <row r="13">
      <c r="A13" s="269" t="inlineStr">
        <is>
          <t>Submit 1 decision</t>
        </is>
      </c>
      <c r="B13" s="269" t="inlineStr">
        <is>
          <t>Day 2</t>
        </is>
      </c>
      <c r="C13" s="269" t="inlineStr">
        <is>
          <t>Activation tag</t>
        </is>
      </c>
      <c r="D13" s="269" t="inlineStr">
        <is>
          <t>Founder Activation</t>
        </is>
      </c>
    </row>
    <row r="14">
      <c r="A14" s="269" t="inlineStr">
        <is>
          <t>Use validation once</t>
        </is>
      </c>
      <c r="B14" s="269" t="inlineStr">
        <is>
          <t>Day 5</t>
        </is>
      </c>
      <c r="C14" s="269" t="inlineStr">
        <is>
          <t>Priority support</t>
        </is>
      </c>
      <c r="D14" s="269" t="inlineStr">
        <is>
          <t>Validation Used</t>
        </is>
      </c>
    </row>
    <row r="15">
      <c r="A15" s="269" t="inlineStr">
        <is>
          <t>Refer 1 person</t>
        </is>
      </c>
      <c r="B15" s="269" t="inlineStr">
        <is>
          <t>Day 7</t>
        </is>
      </c>
      <c r="C15" s="269" t="inlineStr">
        <is>
          <t>Recognition</t>
        </is>
      </c>
      <c r="D15" s="269" t="inlineStr">
        <is>
          <t>Referrals Count &gt;= 1</t>
        </is>
      </c>
    </row>
    <row r="16">
      <c r="A16" s="269" t="inlineStr">
        <is>
          <t>Submit testimonial</t>
        </is>
      </c>
      <c r="B16" s="269" t="inlineStr">
        <is>
          <t>Day 10</t>
        </is>
      </c>
      <c r="C16" s="269" t="inlineStr">
        <is>
          <t>Featured founder</t>
        </is>
      </c>
      <c r="D16" s="269" t="inlineStr">
        <is>
          <t>Testimonial Captured</t>
        </is>
      </c>
    </row>
    <row r="17">
      <c r="A17" s="269" t="inlineStr">
        <is>
          <t>Refer 3 people</t>
        </is>
      </c>
      <c r="B17" s="269" t="inlineStr">
        <is>
          <t>Day 30</t>
        </is>
      </c>
      <c r="C17" s="269" t="inlineStr">
        <is>
          <t>Inner circle</t>
        </is>
      </c>
      <c r="D17" s="269" t="inlineStr">
        <is>
          <t>Referrals Count &gt;= 3</t>
        </is>
      </c>
    </row>
    <row r="22">
      <c r="A22" s="267" t="inlineStr">
        <is>
          <t>Email Day</t>
        </is>
      </c>
      <c r="B22" s="267" t="inlineStr">
        <is>
          <t>Subject</t>
        </is>
      </c>
      <c r="C22" s="267" t="inlineStr">
        <is>
          <t>Core Ask</t>
        </is>
      </c>
      <c r="D22" s="267" t="inlineStr">
        <is>
          <t>Purpose</t>
        </is>
      </c>
    </row>
    <row r="23">
      <c r="A23" s="268" t="inlineStr">
        <is>
          <t>Day 0</t>
        </is>
      </c>
      <c r="B23" s="268" t="inlineStr">
        <is>
          <t>You're in - but this works differently</t>
        </is>
      </c>
      <c r="C23" s="268" t="inlineStr">
        <is>
          <t>What is one decision you are currently thinking about?</t>
        </is>
      </c>
      <c r="D23" s="268" t="inlineStr">
        <is>
          <t>Activation</t>
        </is>
      </c>
    </row>
    <row r="24">
      <c r="A24" s="268" t="inlineStr">
        <is>
          <t>Day 2</t>
        </is>
      </c>
      <c r="B24" s="268" t="inlineStr">
        <is>
          <t>This is where most investors go wrong</t>
        </is>
      </c>
      <c r="C24" s="268" t="inlineStr">
        <is>
          <t>Before your next investment, pause and validate once.</t>
        </is>
      </c>
      <c r="D24" s="268" t="inlineStr">
        <is>
          <t>Usage</t>
        </is>
      </c>
    </row>
    <row r="25">
      <c r="A25" s="268" t="inlineStr">
        <is>
          <t>Day 4</t>
        </is>
      </c>
      <c r="B25" s="268" t="inlineStr">
        <is>
          <t>Quick question</t>
        </is>
      </c>
      <c r="C25" s="268" t="inlineStr">
        <is>
          <t>Did anything change in how you think before investing?</t>
        </is>
      </c>
      <c r="D25" s="268" t="inlineStr">
        <is>
          <t>Proof</t>
        </is>
      </c>
    </row>
    <row r="26">
      <c r="A26" s="268" t="inlineStr">
        <is>
          <t>Day 6</t>
        </is>
      </c>
      <c r="B26" s="268" t="inlineStr">
        <is>
          <t>Someone else needs this</t>
        </is>
      </c>
      <c r="C26" s="268" t="inlineStr">
        <is>
          <t>Think of 1 person who invests regularly and second-guesses decisions.</t>
        </is>
      </c>
      <c r="D26" s="268" t="inlineStr">
        <is>
          <t>Referral</t>
        </is>
      </c>
    </row>
    <row r="27">
      <c r="A27" s="268" t="inlineStr">
        <is>
          <t>Day 10</t>
        </is>
      </c>
      <c r="B27" s="268" t="inlineStr">
        <is>
          <t>What being a founder actually means</t>
        </is>
      </c>
      <c r="C27" s="268" t="inlineStr">
        <is>
          <t>Share your experience.</t>
        </is>
      </c>
      <c r="D27" s="268" t="inlineStr">
        <is>
          <t>Identity</t>
        </is>
      </c>
    </row>
    <row r="32">
      <c r="A32" s="267" t="inlineStr">
        <is>
          <t>Archetype</t>
        </is>
      </c>
      <c r="B32" s="267" t="inlineStr">
        <is>
          <t>Target Mix</t>
        </is>
      </c>
      <c r="C32" s="267" t="inlineStr">
        <is>
          <t>Motivation</t>
        </is>
      </c>
      <c r="D32" s="267" t="inlineStr">
        <is>
          <t>Advocacy Style</t>
        </is>
      </c>
    </row>
    <row r="33">
      <c r="A33" s="268" t="inlineStr">
        <is>
          <t>Mega Connector</t>
        </is>
      </c>
      <c r="B33" s="268" t="inlineStr">
        <is>
          <t>15-20%</t>
        </is>
      </c>
      <c r="C33" s="268" t="inlineStr">
        <is>
          <t>Authority, visibility, being early in something valuable</t>
        </is>
      </c>
      <c r="D33" s="268" t="inlineStr">
        <is>
          <t>Public opinion-led posting and inbound conversations</t>
        </is>
      </c>
    </row>
    <row r="34">
      <c r="A34" s="272" t="inlineStr">
        <is>
          <t>Trusted Advisor</t>
        </is>
      </c>
      <c r="B34" s="272" t="inlineStr">
        <is>
          <t>30-35%</t>
        </is>
      </c>
      <c r="C34" s="272" t="inlineStr">
        <is>
          <t>Client outcomes, credibility protection, professional edge</t>
        </is>
      </c>
      <c r="D34" s="272" t="inlineStr">
        <is>
          <t>1:1 conversations, referrals and private groups</t>
        </is>
      </c>
    </row>
    <row r="35">
      <c r="A35" s="272" t="inlineStr">
        <is>
          <t>Operator Investor</t>
        </is>
      </c>
      <c r="B35" s="272" t="inlineStr">
        <is>
          <t>25-30%</t>
        </is>
      </c>
      <c r="C35" s="272" t="inlineStr">
        <is>
          <t>Decision quality, avoiding mistakes, control</t>
        </is>
      </c>
      <c r="D35" s="272" t="inlineStr">
        <is>
          <t>Private recommendations and WhatsApp conversations</t>
        </is>
      </c>
    </row>
    <row r="36">
      <c r="A36" s="268" t="inlineStr">
        <is>
          <t>Content Amplifier</t>
        </is>
      </c>
      <c r="B36" s="268" t="inlineStr">
        <is>
          <t>20%</t>
        </is>
      </c>
      <c r="C36" s="268" t="inlineStr">
        <is>
          <t>Audience growth, content differentiation, thought leadership</t>
        </is>
      </c>
      <c r="D36" s="268" t="inlineStr">
        <is>
          <t>Content creation, explainers and storytelling</t>
        </is>
      </c>
    </row>
    <row r="40">
      <c r="A40" s="267" t="inlineStr">
        <is>
          <t>Archetype</t>
        </is>
      </c>
      <c r="B40" s="267" t="inlineStr">
        <is>
          <t>Day 1 Ask</t>
        </is>
      </c>
      <c r="C40" s="267" t="inlineStr">
        <is>
          <t>Day 2-3 Tool</t>
        </is>
      </c>
      <c r="D40" s="267" t="inlineStr">
        <is>
          <t>Day 4-5 Action</t>
        </is>
      </c>
      <c r="E40" s="267" t="inlineStr">
        <is>
          <t>Day 6-7 Action</t>
        </is>
      </c>
    </row>
    <row r="41">
      <c r="A41" s="268" t="inlineStr">
        <is>
          <t>Mega Connector</t>
        </is>
      </c>
      <c r="B41" s="268" t="inlineStr">
        <is>
          <t>Ask founder to share one thought: why most investors make mistakes despite good information.</t>
        </is>
      </c>
      <c r="C41" s="268" t="inlineStr">
        <is>
          <t>Give LinkedIn post template: mistakes feel informed because inputs are not the same as decision validation.</t>
        </is>
      </c>
      <c r="D41" s="268" t="inlineStr">
        <is>
          <t>Ask founder to publish post and reply to comments with the decision-validation frame.</t>
        </is>
      </c>
      <c r="E41" s="268" t="inlineStr">
        <is>
          <t>Ask founder to DM 2-3 engaged commenters and open founder conversations.</t>
        </is>
      </c>
    </row>
    <row r="42">
      <c r="A42" s="268" t="inlineStr">
        <is>
          <t>Trusted Advisor</t>
        </is>
      </c>
      <c r="B42" s="268" t="inlineStr">
        <is>
          <t>Ask: Which client recently made a decision that did not work?</t>
        </is>
      </c>
      <c r="C42" s="268" t="inlineStr">
        <is>
          <t>Give 1:1 script: Before you act on this, have you validated the decision?</t>
        </is>
      </c>
      <c r="D42" s="268" t="inlineStr">
        <is>
          <t>Ask advisor to use the validation prompt with 3 clients.</t>
        </is>
      </c>
      <c r="E42" s="268" t="inlineStr">
        <is>
          <t>Ask advisor to introduce Fnomo to 2 relevant clients.</t>
        </is>
      </c>
    </row>
    <row r="43">
      <c r="A43" s="268" t="inlineStr">
        <is>
          <t>Operator Investor</t>
        </is>
      </c>
      <c r="B43" s="268" t="inlineStr">
        <is>
          <t>Ask: What decision are you evaluating this week?</t>
        </is>
      </c>
      <c r="C43" s="268" t="inlineStr">
        <is>
          <t>Ask founder to use Fnomo personally on the current decision.</t>
        </is>
      </c>
      <c r="D43" s="268" t="inlineStr">
        <is>
          <t>Give WhatsApp share: I have started validating decisions before investing - makes a difference.</t>
        </is>
      </c>
      <c r="E43" s="268" t="inlineStr">
        <is>
          <t>Ask founder to share privately with 2-3 peers.</t>
        </is>
      </c>
    </row>
    <row r="44">
      <c r="A44" s="268" t="inlineStr">
        <is>
          <t>Content Amplifier</t>
        </is>
      </c>
      <c r="B44" s="268" t="inlineStr">
        <is>
          <t>Ask: What is the biggest mistake investors make?</t>
        </is>
      </c>
      <c r="C44" s="268" t="inlineStr">
        <is>
          <t>Give video script: Most investors think they need better stock ideas, but the real problem is not validating decisions before acting.</t>
        </is>
      </c>
      <c r="D44" s="268" t="inlineStr">
        <is>
          <t>Ask founder to create 1 reel or video.</t>
        </is>
      </c>
      <c r="E44" s="268" t="inlineStr">
        <is>
          <t>Ask founder to post and engage comments for founder conversations.</t>
        </is>
      </c>
    </row>
    <row r="48">
      <c r="A48" s="267" t="inlineStr">
        <is>
          <t>Screening Question</t>
        </is>
      </c>
      <c r="B48" s="267" t="inlineStr">
        <is>
          <t>Signal</t>
        </is>
      </c>
      <c r="C48" s="267" t="inlineStr">
        <is>
          <t>Assignment</t>
        </is>
      </c>
      <c r="D48" s="267" t="inlineStr">
        <is>
          <t>Rule</t>
        </is>
      </c>
    </row>
    <row r="49">
      <c r="A49" s="269" t="inlineStr">
        <is>
          <t>How do you usually influence others?</t>
        </is>
      </c>
      <c r="B49" s="269" t="inlineStr">
        <is>
          <t>Public posts</t>
        </is>
      </c>
      <c r="C49" s="269" t="inlineStr">
        <is>
          <t>Mega Connector</t>
        </is>
      </c>
      <c r="D49" s="269" t="inlineStr">
        <is>
          <t>Match 2/3 signals</t>
        </is>
      </c>
    </row>
    <row r="50">
      <c r="A50" s="268" t="inlineStr">
        <is>
          <t>How do you usually influence others?</t>
        </is>
      </c>
      <c r="B50" s="268" t="inlineStr">
        <is>
          <t>1:1 advice</t>
        </is>
      </c>
      <c r="C50" s="268" t="inlineStr">
        <is>
          <t>Trusted Advisor</t>
        </is>
      </c>
      <c r="D50" s="268" t="inlineStr">
        <is>
          <t>Match 2/3 signals</t>
        </is>
      </c>
    </row>
    <row r="51">
      <c r="A51" s="268" t="inlineStr">
        <is>
          <t>How do you usually influence others?</t>
        </is>
      </c>
      <c r="B51" s="268" t="inlineStr">
        <is>
          <t>Private sharing</t>
        </is>
      </c>
      <c r="C51" s="268" t="inlineStr">
        <is>
          <t>Operator Investor</t>
        </is>
      </c>
      <c r="D51" s="268" t="inlineStr">
        <is>
          <t>Match 2/3 signals</t>
        </is>
      </c>
    </row>
    <row r="52">
      <c r="A52" s="268" t="inlineStr">
        <is>
          <t>How do you usually influence others?</t>
        </is>
      </c>
      <c r="B52" s="268" t="inlineStr">
        <is>
          <t>Content creation</t>
        </is>
      </c>
      <c r="C52" s="268" t="inlineStr">
        <is>
          <t>Content Amplifier</t>
        </is>
      </c>
      <c r="D52" s="268" t="inlineStr">
        <is>
          <t>Match 2/3 signals</t>
        </is>
      </c>
    </row>
    <row r="53">
      <c r="A53" s="268" t="inlineStr">
        <is>
          <t>Approx network size?</t>
        </is>
      </c>
      <c r="B53" s="268" t="inlineStr">
        <is>
          <t>5K+ audience</t>
        </is>
      </c>
      <c r="C53" s="268" t="inlineStr">
        <is>
          <t>Mega Connector</t>
        </is>
      </c>
      <c r="D53" s="268" t="inlineStr">
        <is>
          <t>If mixed, assign primary + secondary</t>
        </is>
      </c>
    </row>
    <row r="54">
      <c r="A54" s="268" t="inlineStr">
        <is>
          <t>Preferred communication channel?</t>
        </is>
      </c>
      <c r="B54" s="268" t="inlineStr">
        <is>
          <t>WhatsApp</t>
        </is>
      </c>
      <c r="C54" s="268" t="inlineStr">
        <is>
          <t>Operator Investor</t>
        </is>
      </c>
      <c r="D54" s="268" t="inlineStr">
        <is>
          <t>Use founder's natural behavior</t>
        </is>
      </c>
    </row>
    <row r="55">
      <c r="A55" s="268" t="inlineStr">
        <is>
          <t>Preferred communication channel?</t>
        </is>
      </c>
      <c r="B55" s="268" t="inlineStr">
        <is>
          <t>Video/content</t>
        </is>
      </c>
      <c r="C55" s="268" t="inlineStr">
        <is>
          <t>Content Amplifier</t>
        </is>
      </c>
      <c r="D55" s="268" t="inlineStr">
        <is>
          <t>Do not force generic steps</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2026-05-03T07:58:04Z</dcterms:modified>
</cp:coreProperties>
</file>