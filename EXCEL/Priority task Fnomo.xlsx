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eigent\Downloads\fnomo\EXCEL\"/>
    </mc:Choice>
  </mc:AlternateContent>
  <xr:revisionPtr revIDLastSave="0" documentId="13_ncr:1_{72D8CA6B-2AFD-4E93-A0A1-F13E4673F8DB}" xr6:coauthVersionLast="47" xr6:coauthVersionMax="47" xr10:uidLastSave="{00000000-0000-0000-0000-000000000000}"/>
  <bookViews>
    <workbookView xWindow="-110" yWindow="-110" windowWidth="19420" windowHeight="11020" firstSheet="2" activeTab="4" xr2:uid="{AF1D6C5B-1F6E-4584-AD84-5C2A0D43FA19}"/>
  </bookViews>
  <sheets>
    <sheet name="To-Do" sheetId="1" r:id="rId1"/>
    <sheet name="GTM Report" sheetId="3" r:id="rId2"/>
    <sheet name="Lead Tracker" sheetId="4" r:id="rId3"/>
    <sheet name="Doctor Outreach" sheetId="6" r:id="rId4"/>
    <sheet name="Sheet1" sheetId="7" r:id="rId5"/>
    <sheet name="Sheet2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8" i="4" l="1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 Trivedi</author>
  </authors>
  <commentList>
    <comment ref="F32" authorId="0" shapeId="0" xr:uid="{B23A3B71-0D37-48F5-980F-507E5C506ECC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zomato.com</t>
        </r>
      </text>
    </comment>
    <comment ref="G32" authorId="0" shapeId="0" xr:uid="{0C017970-D06C-4B88-B3A4-81796F05D363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Ujwal Kumar Zomato</t>
        </r>
      </text>
    </comment>
    <comment ref="F33" authorId="0" shapeId="0" xr:uid="{76E1AF78-A113-4525-A0D3-B4D842851475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zomato.com</t>
        </r>
      </text>
    </comment>
    <comment ref="G33" authorId="0" shapeId="0" xr:uid="{23532062-A6A0-4EC0-9F20-8C15719F13B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Abhimanyu Goyal Zomato</t>
        </r>
      </text>
    </comment>
    <comment ref="F34" authorId="0" shapeId="0" xr:uid="{2A2F4234-7025-426B-84DA-ABF25F216740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zomato.com</t>
        </r>
      </text>
    </comment>
    <comment ref="G34" authorId="0" shapeId="0" xr:uid="{B99AFB7E-A548-4088-B552-474E942BF76A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Bhargav Yellapragada Zomato</t>
        </r>
      </text>
    </comment>
    <comment ref="F36" authorId="0" shapeId="0" xr:uid="{95B9C62E-030E-4377-A2C6-7D5DE5944632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blinkit.com</t>
        </r>
      </text>
    </comment>
    <comment ref="G36" authorId="0" shapeId="0" xr:uid="{14D12066-E973-4027-A5F5-E33EB71CA7CC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Seetesh Srivastava Blinkit</t>
        </r>
      </text>
    </comment>
    <comment ref="F37" authorId="0" shapeId="0" xr:uid="{8A95D68F-2337-44F7-BB9D-E7C6E52272A6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blinkit.com</t>
        </r>
      </text>
    </comment>
    <comment ref="G37" authorId="0" shapeId="0" xr:uid="{84AEB9B9-E736-4ABD-B7CC-582734DACBB3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Rishabh P Blinkit Director</t>
        </r>
      </text>
    </comment>
    <comment ref="F38" authorId="0" shapeId="0" xr:uid="{E89FC173-4958-4C20-BB48-4DD08967A45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blinkit.com</t>
        </r>
      </text>
    </comment>
    <comment ref="G38" authorId="0" shapeId="0" xr:uid="{C71CC58F-820D-4A80-9DEE-92DE5345D5B9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Firoz Alam Blinkit</t>
        </r>
      </text>
    </comment>
    <comment ref="F40" authorId="0" shapeId="0" xr:uid="{C2E5C24A-210D-483A-8A1F-0F5F998A6414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practo.com</t>
        </r>
      </text>
    </comment>
    <comment ref="G40" authorId="0" shapeId="0" xr:uid="{72E0BE3E-1BC0-430F-B54B-4857BC869344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Kayshel Ophelia Fernandes Practo</t>
        </r>
      </text>
    </comment>
    <comment ref="F41" authorId="0" shapeId="0" xr:uid="{6AB66724-634B-4EFD-9F15-3FAAC0540BF1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practo.com</t>
        </r>
      </text>
    </comment>
    <comment ref="G41" authorId="0" shapeId="0" xr:uid="{EAA239DA-09E9-4C7C-B253-ED79E127F74E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Shoumyan Biswas Practo</t>
        </r>
      </text>
    </comment>
    <comment ref="F42" authorId="0" shapeId="0" xr:uid="{DCAF5879-A80B-43A7-8C72-4AE6572CA0C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practo.com</t>
        </r>
      </text>
    </comment>
    <comment ref="G42" authorId="0" shapeId="0" xr:uid="{B50A99C1-EEC7-4850-8B12-44603B49409D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Jay B Practo Strategy</t>
        </r>
      </text>
    </comment>
    <comment ref="F44" authorId="0" shapeId="0" xr:uid="{E5779E5F-A671-458F-8F3C-B26ABE180239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swiggy.com</t>
        </r>
      </text>
    </comment>
    <comment ref="G44" authorId="0" shapeId="0" xr:uid="{B3724E35-F56D-42E9-AF71-87C8C6CDC828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Saurav Goyal Swiggy</t>
        </r>
      </text>
    </comment>
    <comment ref="F45" authorId="0" shapeId="0" xr:uid="{1CF5ADCC-6460-4F72-A7D6-BA51975B55EE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swiggy.com</t>
        </r>
      </text>
    </comment>
    <comment ref="G45" authorId="0" shapeId="0" xr:uid="{9403BC54-129F-46F4-A465-42508046B99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Shilpi Srivastav Swiggy</t>
        </r>
      </text>
    </comment>
    <comment ref="F46" authorId="0" shapeId="0" xr:uid="{66723649-B906-46FF-AE1F-3BAB6901F134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swiggy.com</t>
        </r>
      </text>
    </comment>
    <comment ref="G46" authorId="0" shapeId="0" xr:uid="{05B8DC90-CDED-4F45-B1B9-1218D1DE111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Shikhar Baveja Swiggy</t>
        </r>
      </text>
    </comment>
    <comment ref="F48" authorId="0" shapeId="0" xr:uid="{17183A32-7AE9-4A1A-A71C-5E302C36E6A4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nobroker.in</t>
        </r>
      </text>
    </comment>
    <comment ref="G48" authorId="0" shapeId="0" xr:uid="{B33E5290-39DC-4CFF-8C96-AF52D544EE1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Nikita Patankar NoBroker</t>
        </r>
      </text>
    </comment>
    <comment ref="F49" authorId="0" shapeId="0" xr:uid="{CD9AAE3D-0D8E-458A-BB0C-5661890B2A4C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nobroker.in</t>
        </r>
      </text>
    </comment>
    <comment ref="G49" authorId="0" shapeId="0" xr:uid="{B6ADA271-8087-4895-BDDD-BD71E2875AD5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Samir Mohammed NoBroker</t>
        </r>
      </text>
    </comment>
    <comment ref="F50" authorId="0" shapeId="0" xr:uid="{DE7508E8-FCDA-462E-9139-315F12A2A926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nobroker.in</t>
        </r>
      </text>
    </comment>
    <comment ref="G50" authorId="0" shapeId="0" xr:uid="{903E1041-8724-466B-AA23-8461EE0EC8EB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Romeo Ghosh NoBroker</t>
        </r>
      </text>
    </comment>
    <comment ref="F52" authorId="0" shapeId="0" xr:uid="{604C2C51-1C87-4C73-AE97-5342E7CDC98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internshala.com</t>
        </r>
      </text>
    </comment>
    <comment ref="G52" authorId="0" shapeId="0" xr:uid="{68012456-4A91-40FC-8F4E-37D3EB69279A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Dushyant Chaturvedi Internshala</t>
        </r>
      </text>
    </comment>
    <comment ref="F53" authorId="0" shapeId="0" xr:uid="{5508F28D-BFF4-493A-8125-87A0F6CBC70A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internshala.com</t>
        </r>
      </text>
    </comment>
    <comment ref="G53" authorId="0" shapeId="0" xr:uid="{1F896129-6735-4D5F-BCE7-92D71515A000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Kopal Seth Internshala</t>
        </r>
      </text>
    </comment>
    <comment ref="F55" authorId="0" shapeId="0" xr:uid="{7DC1E34A-05D7-40BB-8472-4E4633C4F0DE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collegedunia.com</t>
        </r>
      </text>
    </comment>
    <comment ref="G55" authorId="0" shapeId="0" xr:uid="{2307875B-7F2D-48D3-A537-9631D31D7CF7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Abuzar Jamal Collegedunia</t>
        </r>
      </text>
    </comment>
    <comment ref="F56" authorId="0" shapeId="0" xr:uid="{43C75D14-0C8A-4E12-8AD1-4E12AC09A892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collegedunia.com</t>
        </r>
      </text>
    </comment>
    <comment ref="G56" authorId="0" shapeId="0" xr:uid="{633473AA-32E8-4918-981E-938933684496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Pratyush N Collegedunia</t>
        </r>
      </text>
    </comment>
    <comment ref="F58" authorId="0" shapeId="0" xr:uid="{0473F6BA-53E7-4A8A-807B-2BA9ECFAD9A6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housing.com</t>
        </r>
      </text>
    </comment>
    <comment ref="G58" authorId="0" shapeId="0" xr:uid="{D0605FF0-46AF-4F5D-ADFE-AEA9B9B6422C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Suhas Mishra Housing.com</t>
        </r>
      </text>
    </comment>
    <comment ref="F59" authorId="0" shapeId="0" xr:uid="{7AD6FCBB-8B77-4E71-9206-F5DCC5EACBB7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housing.com</t>
        </r>
      </text>
    </comment>
    <comment ref="G59" authorId="0" shapeId="0" xr:uid="{0A52F2D2-86C7-4138-8EE1-A9DAE59B8CD6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Prakash Singhal Housing.com</t>
        </r>
      </text>
    </comment>
    <comment ref="F60" authorId="0" shapeId="0" xr:uid="{6279F4AC-05A5-46B7-87FC-B4383AAF4F09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housing.com</t>
        </r>
      </text>
    </comment>
    <comment ref="G60" authorId="0" shapeId="0" xr:uid="{6AC5966A-702F-4490-B232-4FF2E11EE210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Shruti Garg Housing.com</t>
        </r>
      </text>
    </comment>
    <comment ref="F62" authorId="0" shapeId="0" xr:uid="{3DFCD9BE-3343-43E7-BEC8-BF140CD9332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mygate.com</t>
        </r>
      </text>
    </comment>
    <comment ref="G62" authorId="0" shapeId="0" xr:uid="{9DC0D9D2-62A0-4800-B44B-CD34EFD26BA0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Kenneth Saldanha MyGate</t>
        </r>
      </text>
    </comment>
    <comment ref="F84" authorId="0" shapeId="0" xr:uid="{976254D3-F784-4F57-AE47-F13B8FEDE0EB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WhatsApp official - https://wa.me</t>
        </r>
      </text>
    </comment>
    <comment ref="F85" authorId="0" shapeId="0" xr:uid="{404ACAE9-BBE1-4749-A6D4-226D9BF418A4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Telegram official - https://t.me</t>
        </r>
      </text>
    </comment>
  </commentList>
</comments>
</file>

<file path=xl/sharedStrings.xml><?xml version="1.0" encoding="utf-8"?>
<sst xmlns="http://schemas.openxmlformats.org/spreadsheetml/2006/main" count="1463" uniqueCount="561">
  <si>
    <t>TASK</t>
  </si>
  <si>
    <t>PRIORITY</t>
  </si>
  <si>
    <t>STATUS</t>
  </si>
  <si>
    <t>OWNER</t>
  </si>
  <si>
    <t>CATEGORY</t>
  </si>
  <si>
    <t>URL/CONTACT</t>
  </si>
  <si>
    <t>NOTES</t>
  </si>
  <si>
    <t>1. PARTNERSHIPS &amp; ASSOCIATIONS</t>
  </si>
  <si>
    <t>High</t>
  </si>
  <si>
    <t>To Do</t>
  </si>
  <si>
    <t>Business Dev</t>
  </si>
  <si>
    <t xml:space="preserve">  • Contact Doctor Associations</t>
  </si>
  <si>
    <t>Partnerships</t>
  </si>
  <si>
    <t xml:space="preserve">  • Contact Business Associations</t>
  </si>
  <si>
    <t xml:space="preserve">  • Contact CA Associations</t>
  </si>
  <si>
    <t xml:space="preserve">  • Identify &amp; reach Business Owners (Turnover &gt; ₹2Cr)</t>
  </si>
  <si>
    <t>2. PLATFORM TIE-UPS</t>
  </si>
  <si>
    <t>Platform Dev</t>
  </si>
  <si>
    <t xml:space="preserve">  • Reach out to Practo</t>
  </si>
  <si>
    <t>Platform</t>
  </si>
  <si>
    <t>practo.com</t>
  </si>
  <si>
    <t xml:space="preserve">  • Reach out to Blinkit</t>
  </si>
  <si>
    <t>blinkit.com</t>
  </si>
  <si>
    <t xml:space="preserve">  • Reach out to Zomato</t>
  </si>
  <si>
    <t>zomato.com</t>
  </si>
  <si>
    <t xml:space="preserve">  • Reach out to Swiggy</t>
  </si>
  <si>
    <t>careers.swiggy.com</t>
  </si>
  <si>
    <t xml:space="preserve">  • Reach out to MyGate</t>
  </si>
  <si>
    <t>mygate.com</t>
  </si>
  <si>
    <t xml:space="preserve">  • Explore platforms for National Expansion</t>
  </si>
  <si>
    <t>Medium</t>
  </si>
  <si>
    <t xml:space="preserve">  • Explore Event Platforms for Expansion</t>
  </si>
  <si>
    <t xml:space="preserve">  • Identify Restaurant Partnership Opportunities</t>
  </si>
  <si>
    <t>3. PLATFORM WEBSITE MAPPING</t>
  </si>
  <si>
    <t>In Progress</t>
  </si>
  <si>
    <t>Documentation</t>
  </si>
  <si>
    <t xml:space="preserve">  • Zomato</t>
  </si>
  <si>
    <t>Done</t>
  </si>
  <si>
    <t xml:space="preserve">  • Internshala</t>
  </si>
  <si>
    <t>internshala.com</t>
  </si>
  <si>
    <t xml:space="preserve">  • Blinkit</t>
  </si>
  <si>
    <t xml:space="preserve">  • Nobroker</t>
  </si>
  <si>
    <t>nobroker.in</t>
  </si>
  <si>
    <t xml:space="preserve">  • Practo</t>
  </si>
  <si>
    <t xml:space="preserve">  • Swiggy</t>
  </si>
  <si>
    <t xml:space="preserve">  • Collegedunia</t>
  </si>
  <si>
    <t>collegedunia.com</t>
  </si>
  <si>
    <t xml:space="preserve">  • Housing</t>
  </si>
  <si>
    <t>housing.com</t>
  </si>
  <si>
    <t xml:space="preserve">  • MyGate</t>
  </si>
  <si>
    <t xml:space="preserve">  • 99 Acres</t>
  </si>
  <si>
    <t>99acres.com</t>
  </si>
  <si>
    <t>4. KEY DECISION MAKERS (Direct Outreach Targets)</t>
  </si>
  <si>
    <t>Outreach</t>
  </si>
  <si>
    <t xml:space="preserve">  Zomato:</t>
  </si>
  <si>
    <t xml:space="preserve">    - Ujwal Kumar — Director, Supply Chain Operations</t>
  </si>
  <si>
    <t>Contact</t>
  </si>
  <si>
    <t xml:space="preserve">    - Abhimanyu Goyal — Cluster Logs Leader / COO</t>
  </si>
  <si>
    <t xml:space="preserve">    - Bhargav Yellapragada — Chief Operating Officer</t>
  </si>
  <si>
    <t xml:space="preserve">  Blinkit:</t>
  </si>
  <si>
    <t xml:space="preserve">    - Seetesh Srivastava — Director, Admin &amp; Operations</t>
  </si>
  <si>
    <t xml:space="preserve">    - Rishabh P. — Director, Operations</t>
  </si>
  <si>
    <t xml:space="preserve">    - Firoz Alam — Operations Head</t>
  </si>
  <si>
    <t xml:space="preserve">  Practo:</t>
  </si>
  <si>
    <t xml:space="preserve">    - Kayshel Ophelia Fernandes — Assoc Director, Comms &amp; PR</t>
  </si>
  <si>
    <t xml:space="preserve">    - Shoumyan Biswas — Global CMO &amp; Strategy Officer</t>
  </si>
  <si>
    <t xml:space="preserve">    - Jay B. — Manager, Strategy &amp; CEO's Office</t>
  </si>
  <si>
    <t xml:space="preserve">  Swiggy:</t>
  </si>
  <si>
    <t xml:space="preserve">    - Saurav Goyal — SVP, Driver &amp; Delivery Product &amp; Ops</t>
  </si>
  <si>
    <t xml:space="preserve">    - Shilpi Srivastav — Brand &amp; Revenue Head</t>
  </si>
  <si>
    <t xml:space="preserve">    - Shikhar Baveja — Director, Planning &amp; Sales Ops</t>
  </si>
  <si>
    <t xml:space="preserve">  Nobroker:</t>
  </si>
  <si>
    <t xml:space="preserve">    - Nikita Patankar — Director, Product Management</t>
  </si>
  <si>
    <t xml:space="preserve">    - Samir Mohammed — Head, Sales &amp; Marketing</t>
  </si>
  <si>
    <t xml:space="preserve">    - Romeo Ghosh — Assoc Director, Marketing &amp; New Initiatives</t>
  </si>
  <si>
    <t xml:space="preserve">  Internshala:</t>
  </si>
  <si>
    <t xml:space="preserve">    - Dushyant Chaturvedi — Head, Business &amp; Ops B2B</t>
  </si>
  <si>
    <t xml:space="preserve">    - Kopal Seth — VP, Learning Content Strategy &amp; Program Ops</t>
  </si>
  <si>
    <t xml:space="preserve">  Collegedunia:</t>
  </si>
  <si>
    <t xml:space="preserve">    - Abuzar Jamal — Director, Business Operations</t>
  </si>
  <si>
    <t xml:space="preserve">    - Pratyush N. — Head, Product (Cashback &amp; Rewards)</t>
  </si>
  <si>
    <t xml:space="preserve">  Housing:</t>
  </si>
  <si>
    <t xml:space="preserve">    - Suhas Mishra — Director, Product Management</t>
  </si>
  <si>
    <t xml:space="preserve">    - Prakash Singhal — Zonal Head, South &amp; Alliances</t>
  </si>
  <si>
    <t xml:space="preserve">    - Shruti Garg — Director, Customer Insights &amp; Campaigns</t>
  </si>
  <si>
    <t xml:space="preserve">  MyGate:</t>
  </si>
  <si>
    <t xml:space="preserve">    - Kenneth Saldanha — Director, Marketing</t>
  </si>
  <si>
    <t>5. SCHOOL OUTREACH (Pre-Launch)</t>
  </si>
  <si>
    <t>Education</t>
  </si>
  <si>
    <t xml:space="preserve">  • Build School Outreach Plan</t>
  </si>
  <si>
    <t>School</t>
  </si>
  <si>
    <t xml:space="preserve">    - Define target schools (Top 50 in each city)</t>
  </si>
  <si>
    <t xml:space="preserve">    - Identify decision makers (Principal / Academic Head)</t>
  </si>
  <si>
    <t xml:space="preserve">    - Prepare outreach list with contact details</t>
  </si>
  <si>
    <t xml:space="preserve">    - Create outreach script (email + call)</t>
  </si>
  <si>
    <t xml:space="preserve">  • Create Fnomo Workshop Proposal (Young Investor – Pre-Launch)</t>
  </si>
  <si>
    <t xml:space="preserve">    - 60–90 min workshop (Class 9–12)</t>
  </si>
  <si>
    <t xml:space="preserve">    - Focus: real-life money decisions + Fnomo demo</t>
  </si>
  <si>
    <t xml:space="preserve">    - Outcome: practical financial experience</t>
  </si>
  <si>
    <t xml:space="preserve">    - CTA: free pilot → paid rollout</t>
  </si>
  <si>
    <t xml:space="preserve">  • Identify Schools for Pilot Launch</t>
  </si>
  <si>
    <t xml:space="preserve">  • Reach out to Institutions &amp; Influencers (Email Outreach)</t>
  </si>
  <si>
    <t>Indu</t>
  </si>
  <si>
    <t xml:space="preserve">  • Identify Webinar Platforms (Target: 20–30 attendees per batch)</t>
  </si>
  <si>
    <t>6. KEY NOTES</t>
  </si>
  <si>
    <t>General</t>
  </si>
  <si>
    <t xml:space="preserve">  • Talk to platforms to place Fnomo inside their app (product placement)</t>
  </si>
  <si>
    <t xml:space="preserve">  • List Fnomo on Product Hunt (and similar platforms)</t>
  </si>
  <si>
    <t>producthunt.com</t>
  </si>
  <si>
    <t xml:space="preserve">  • Talk to Data Providers</t>
  </si>
  <si>
    <t xml:space="preserve">  • Create Demo Video for Partnerships</t>
  </si>
  <si>
    <t xml:space="preserve">  • Set up WhatsApp Outreach System</t>
  </si>
  <si>
    <t xml:space="preserve">  • Set up Telegram Admin/Outreach System</t>
  </si>
  <si>
    <t>7. COMMERCIAL MODEL</t>
  </si>
  <si>
    <t>Strategy</t>
  </si>
  <si>
    <t xml:space="preserve">  • Finalize Revenue Sharing Model (Target: 30%)</t>
  </si>
  <si>
    <t>Commercial</t>
  </si>
  <si>
    <t xml:space="preserve">  • Design Coupon/Discount Structure (Example: 20%–30%)</t>
  </si>
  <si>
    <t xml:space="preserve">  • Define Platform Commission Model</t>
  </si>
  <si>
    <t xml:space="preserve">  • Define Partner Incentive Structure</t>
  </si>
  <si>
    <t>8. CAMPAIGN NOTES</t>
  </si>
  <si>
    <t>Marketing</t>
  </si>
  <si>
    <t xml:space="preserve">  • Pan-India campaign for product feedback</t>
  </si>
  <si>
    <t>Campaign</t>
  </si>
  <si>
    <t xml:space="preserve">  • Free investing webinars for women</t>
  </si>
  <si>
    <t xml:space="preserve">  • Buffet-style investing sessions by Fnomo founder</t>
  </si>
  <si>
    <t xml:space="preserve">  • Free investing sessions</t>
  </si>
  <si>
    <t>zomato.com/careers</t>
  </si>
  <si>
    <t>blinkit.com/careers</t>
  </si>
  <si>
    <t>practo.com/careers</t>
  </si>
  <si>
    <t>nobroker.in/careers</t>
  </si>
  <si>
    <t>internshala.com/jobs</t>
  </si>
  <si>
    <t>housing.com/careers</t>
  </si>
  <si>
    <t>mygate.com/careers</t>
  </si>
  <si>
    <t>wa.me</t>
  </si>
  <si>
    <t>t.me</t>
  </si>
  <si>
    <t>linkedin.com/in/ujwal-kumar-zomato</t>
  </si>
  <si>
    <t>linkedin.com/in/abhimanyu-goyal-zomato</t>
  </si>
  <si>
    <t>linkedin.com/in/bhargav-yellapragada</t>
  </si>
  <si>
    <t>linkedin.com/in/seetesh-srivastava-blinkit</t>
  </si>
  <si>
    <t>linkedin.com/in/rishabh-p-blinkit</t>
  </si>
  <si>
    <t>linkedin.com/in/firoz-alam-blinkit</t>
  </si>
  <si>
    <t>linkedin.com/in/kayshel-ophelia-fernandes</t>
  </si>
  <si>
    <t>linkedin.com/in/shoumyan-biswas</t>
  </si>
  <si>
    <t>linkedin.com/in/jay-b-practo</t>
  </si>
  <si>
    <t>linkedin.com/in/saurav-goyal-swiggy</t>
  </si>
  <si>
    <t>linkedin.com/in/shilpi-srivastav-swiggy</t>
  </si>
  <si>
    <t>linkedin.com/in/shikhar-baveja</t>
  </si>
  <si>
    <t>linkedin.com/in/nikita-patankar-nobroker</t>
  </si>
  <si>
    <t>linkedin.com/in/samir-mohammed-nobroker</t>
  </si>
  <si>
    <t>linkedin.com/in/romeo-ghosh-nobroker</t>
  </si>
  <si>
    <t>linkedin.com/in/dushyant-chaturvedi-internshala</t>
  </si>
  <si>
    <t>linkedin.com/in/kopal-seth-internshala</t>
  </si>
  <si>
    <t>linkedin.com/in/abuzar-jamal-collegedunia</t>
  </si>
  <si>
    <t>linkedin.com/in/pratyush-n-collegedunia</t>
  </si>
  <si>
    <t>linkedin.com/in/suhas-mishra-housing</t>
  </si>
  <si>
    <t>linkedin.com/in/prakash-singhal-housing</t>
  </si>
  <si>
    <t>linkedin.com/in/shruti-garg-housing</t>
  </si>
  <si>
    <t>linkedin.com/in/kenneth-saldanha-mygate</t>
  </si>
  <si>
    <t>FNOMO GTM EXECUTION REPORT</t>
  </si>
  <si>
    <t>EXECUTION SUMMARY</t>
  </si>
  <si>
    <t>Platforms Targeted</t>
  </si>
  <si>
    <t>Decision Makers</t>
  </si>
  <si>
    <t>Emails Sent</t>
  </si>
  <si>
    <t>LinkedIn</t>
  </si>
  <si>
    <t>WhatsApp</t>
  </si>
  <si>
    <t>Calls</t>
  </si>
  <si>
    <t>28 / 28</t>
  </si>
  <si>
    <t>Partial</t>
  </si>
  <si>
    <t>Started</t>
  </si>
  <si>
    <t>⚠ Not Started</t>
  </si>
  <si>
    <t>PIPELINE STATUS</t>
  </si>
  <si>
    <t>Stage</t>
  </si>
  <si>
    <t>Total Leads</t>
  </si>
  <si>
    <t>Contacted</t>
  </si>
  <si>
    <t>Engaged</t>
  </si>
  <si>
    <t>Qualified</t>
  </si>
  <si>
    <t>Converted</t>
  </si>
  <si>
    <t>Early Engagement</t>
  </si>
  <si>
    <t>⚠ KEY BOTTLENECK: No replies received yet — follow-ups and call layer are critical.</t>
  </si>
  <si>
    <t>STRATEGIC FOCUS</t>
  </si>
  <si>
    <t>Why Platform Partnerships First?</t>
  </si>
  <si>
    <t>•  Platforms = existing user bases of millions — fastest distribution channel</t>
  </si>
  <si>
    <t>•  9 platforms mapped (Zomato, Blinkit, Swiggy, Practo, NoBroker, MyGate, Internshala, Housing, Collegedunia)</t>
  </si>
  <si>
    <t>•  28 senior decision makers identified — direct access, no gatekeepers</t>
  </si>
  <si>
    <t>Why Associations Deferred?</t>
  </si>
  <si>
    <t>•  Associations = slower cycle, lower immediate ROI</t>
  </si>
  <si>
    <t>•  Will activate post platform validation (CA outreach + doctor outreach ready)</t>
  </si>
  <si>
    <t>CHANNEL BREAKDOWN</t>
  </si>
  <si>
    <t>Channel</t>
  </si>
  <si>
    <t>Status</t>
  </si>
  <si>
    <t>Coverage</t>
  </si>
  <si>
    <t>Insight</t>
  </si>
  <si>
    <t>Email</t>
  </si>
  <si>
    <t>✅ Completed</t>
  </si>
  <si>
    <t>First touch done. No replies yet.</t>
  </si>
  <si>
    <t>⚠ Partial</t>
  </si>
  <si>
    <t>Abhimanyu + Shilpi pending.</t>
  </si>
  <si>
    <t>⚠ Started</t>
  </si>
  <si>
    <t>Scale to all 28 immediately.</t>
  </si>
  <si>
    <t>🔴 Not Started</t>
  </si>
  <si>
    <t>0 / 28</t>
  </si>
  <si>
    <t>⚠ CRITICAL GAP — missing layer for conversion</t>
  </si>
  <si>
    <t>KEY INSIGHTS &amp; RISKS</t>
  </si>
  <si>
    <t>STRENGTHS</t>
  </si>
  <si>
    <t>RISKS</t>
  </si>
  <si>
    <t>✔  Direct access to 28 senior decision makers</t>
  </si>
  <si>
    <t>⚠  Pipeline stuck at contact stage — no forward movement</t>
  </si>
  <si>
    <t>✔  9 platforms fully mapped and outreach-ready</t>
  </si>
  <si>
    <t>⚠  0 active conversations after full email blast</t>
  </si>
  <si>
    <t>✔  Multi-channel execution underway (email + LI + WA)</t>
  </si>
  <si>
    <t>⚠  Reliance on passive channels (email) without call escalation</t>
  </si>
  <si>
    <t>✔  Commercial model (rev share ~50%) framework ready</t>
  </si>
  <si>
    <t>⚠  1 engaged lead exited company — needs requalification</t>
  </si>
  <si>
    <t>✔  School + association track ready to activate on signal</t>
  </si>
  <si>
    <t>⚠  Commercial model not finalized — risk if conversations open</t>
  </si>
  <si>
    <t>NEXT ACTION PLAN</t>
  </si>
  <si>
    <t>Priority</t>
  </si>
  <si>
    <t>Action</t>
  </si>
  <si>
    <t>Deadline</t>
  </si>
  <si>
    <t>Owner</t>
  </si>
  <si>
    <t>Goal</t>
  </si>
  <si>
    <t>🔴 P1</t>
  </si>
  <si>
    <t>Start call layer — all 28 leads</t>
  </si>
  <si>
    <t>Immediate</t>
  </si>
  <si>
    <t>GTM Team</t>
  </si>
  <si>
    <t>Break silence, create live conversation</t>
  </si>
  <si>
    <t>WhatsApp blast to all 28 (currently 2/28)</t>
  </si>
  <si>
    <t>Today</t>
  </si>
  <si>
    <t>Warm channel — higher response rate</t>
  </si>
  <si>
    <t>🟠 P2</t>
  </si>
  <si>
    <t>Complete LinkedIn (Abhimanyu + Shilpi)</t>
  </si>
  <si>
    <t>Close the multi-channel loop</t>
  </si>
  <si>
    <t>Send follow-up emails (Round 2)</t>
  </si>
  <si>
    <t>May 6 + May 8</t>
  </si>
  <si>
    <t>Re-engage cold leads</t>
  </si>
  <si>
    <t>🟡 P3</t>
  </si>
  <si>
    <t>Finalize commercial model (rev share + coupon system)</t>
  </si>
  <si>
    <t>Before first closure</t>
  </si>
  <si>
    <t>Founder</t>
  </si>
  <si>
    <t>Be ready when conversations open</t>
  </si>
  <si>
    <t>Map 99Acres + activate school outreach pilot</t>
  </si>
  <si>
    <t>Post first platform reply</t>
  </si>
  <si>
    <t>Expand pipeline scope</t>
  </si>
  <si>
    <t>OBJECTIVE</t>
  </si>
  <si>
    <t>Move 28 leads:   CONTACT  ➔  CONVERSATION  ➔  PARTNERSHIP</t>
  </si>
  <si>
    <t xml:space="preserve">   |   As of: May 2025   |   Owner: GTM Team</t>
  </si>
  <si>
    <t>Lead Name</t>
  </si>
  <si>
    <t>Category</t>
  </si>
  <si>
    <t>City</t>
  </si>
  <si>
    <t>Phone</t>
  </si>
  <si>
    <t>Tier</t>
  </si>
  <si>
    <t>Last Contact Date</t>
  </si>
  <si>
    <t>Last Contact Type</t>
  </si>
  <si>
    <t>Outcome</t>
  </si>
  <si>
    <t>Next Action</t>
  </si>
  <si>
    <t>Next Action Date</t>
  </si>
  <si>
    <t>Days Stuck</t>
  </si>
  <si>
    <t>Notes</t>
  </si>
  <si>
    <t>Ujwal Kumar</t>
  </si>
  <si>
    <t>-</t>
  </si>
  <si>
    <t>B</t>
  </si>
  <si>
    <t>New</t>
  </si>
  <si>
    <t>First Outreach Email</t>
  </si>
  <si>
    <t>Send Today</t>
  </si>
  <si>
    <t>Kush</t>
  </si>
  <si>
    <t>Zomato contact</t>
  </si>
  <si>
    <t>Abhimanyu Goyal</t>
  </si>
  <si>
    <t>abhimanyu.goyal@zomato.com</t>
  </si>
  <si>
    <t>A</t>
  </si>
  <si>
    <t>No Response</t>
  </si>
  <si>
    <t>LinkedIn Follow-up</t>
  </si>
  <si>
    <t>Pending LinkedIn</t>
  </si>
  <si>
    <t>Dushyant Chaturvedi</t>
  </si>
  <si>
    <t>dushyant.chaturvedi@internshala.com</t>
  </si>
  <si>
    <t>Requalify</t>
  </si>
  <si>
    <t>Find New Org / Referral</t>
  </si>
  <si>
    <t>Left company</t>
  </si>
  <si>
    <t>Seetesh Srivastava</t>
  </si>
  <si>
    <t>seetesh.ap@blinkit.com</t>
  </si>
  <si>
    <t>Follow-up</t>
  </si>
  <si>
    <t>Message May 6</t>
  </si>
  <si>
    <t>Blinkit Director</t>
  </si>
  <si>
    <t>Rishabh Pandey</t>
  </si>
  <si>
    <t>Follow-up 1</t>
  </si>
  <si>
    <t>Blinkit Ops</t>
  </si>
  <si>
    <t>Nikita Patankar</t>
  </si>
  <si>
    <t>nikita.patankar@nobroker.in</t>
  </si>
  <si>
    <t>NoBroker</t>
  </si>
  <si>
    <t>Samir Mohammed</t>
  </si>
  <si>
    <t>samir.mohammed@nobroker.in</t>
  </si>
  <si>
    <t>Nobroker</t>
  </si>
  <si>
    <t>Kayshel Fernandes</t>
  </si>
  <si>
    <t>bhargavtinku@gmail.com</t>
  </si>
  <si>
    <t>Practo</t>
  </si>
  <si>
    <t>Bhargav Yellapragada</t>
  </si>
  <si>
    <t>shoumyan.biswas@practo.com</t>
  </si>
  <si>
    <t>Zomato COO</t>
  </si>
  <si>
    <t>Shoumyan Biswas</t>
  </si>
  <si>
    <t>Saurav Goyal</t>
  </si>
  <si>
    <t>saurav.goyal@swiggy.in</t>
  </si>
  <si>
    <t>WhatsApp Outreach</t>
  </si>
  <si>
    <t>Swiggy SVP</t>
  </si>
  <si>
    <t>Jay Baksh</t>
  </si>
  <si>
    <t>C</t>
  </si>
  <si>
    <t>Shilpi Srivastav</t>
  </si>
  <si>
    <t>shilpi.srivastav@swiggy.in</t>
  </si>
  <si>
    <t>Swiggy</t>
  </si>
  <si>
    <t>Firoz Alam</t>
  </si>
  <si>
    <t>firozalam@blinkit.com</t>
  </si>
  <si>
    <t>Blinkit</t>
  </si>
  <si>
    <t>Shikhar Baveja</t>
  </si>
  <si>
    <t>shikhar.baveja@swiggy.in</t>
  </si>
  <si>
    <t>Romeo Ghosh</t>
  </si>
  <si>
    <t>romeo.ghosh@nobroker.in</t>
  </si>
  <si>
    <t>Kopal Seth</t>
  </si>
  <si>
    <t>kopal@internshala.com</t>
  </si>
  <si>
    <t>Internshala</t>
  </si>
  <si>
    <t>Abuzar Jamal</t>
  </si>
  <si>
    <t>abuzar.jamal@collegedunia.com</t>
  </si>
  <si>
    <t>Collegedunia</t>
  </si>
  <si>
    <t>Pratyush N</t>
  </si>
  <si>
    <t>pratyush.nishantkar@collegedunia.com</t>
  </si>
  <si>
    <t>Suhas Mishra</t>
  </si>
  <si>
    <t>suhas.mishra@housing.com</t>
  </si>
  <si>
    <t>Housing</t>
  </si>
  <si>
    <t>Prakash Singhal</t>
  </si>
  <si>
    <t>prakash.singhal@housing.com</t>
  </si>
  <si>
    <t>Shruti Garg</t>
  </si>
  <si>
    <t>shruti.garg@housing.com</t>
  </si>
  <si>
    <t>Kenneth Saldanha</t>
  </si>
  <si>
    <t>kenneth.saldanha@mygate.com</t>
  </si>
  <si>
    <t>MyGate</t>
  </si>
  <si>
    <t>Praful Bele</t>
  </si>
  <si>
    <t>praful.bele@collegedunia.com</t>
  </si>
  <si>
    <t>Rohit Kapoor</t>
  </si>
  <si>
    <t>rohit.kapoor@swiggy.in</t>
  </si>
  <si>
    <t>CEO Swiggy</t>
  </si>
  <si>
    <t>Abhishek Kumar</t>
  </si>
  <si>
    <t>abhishekkumar@mygate.com</t>
  </si>
  <si>
    <t>MyGate CEO</t>
  </si>
  <si>
    <t>Praveen Boda</t>
  </si>
  <si>
    <t>praveen.boda@mygate.com</t>
  </si>
  <si>
    <t>CFO MyGate</t>
  </si>
  <si>
    <t>Follow-up Needed</t>
  </si>
  <si>
    <t>Name</t>
  </si>
  <si>
    <t>Specialization</t>
  </si>
  <si>
    <t>Clinic / Hospital</t>
  </si>
  <si>
    <t>Dr. Ashok Jain</t>
  </si>
  <si>
    <t>Cardiologist</t>
  </si>
  <si>
    <t>Bhopal</t>
  </si>
  <si>
    <t>Bansal Hospital</t>
  </si>
  <si>
    <t>First Outreach</t>
  </si>
  <si>
    <t>High income specialist</t>
  </si>
  <si>
    <t>Dr. Neeraj Saxena</t>
  </si>
  <si>
    <t>Neurologist</t>
  </si>
  <si>
    <t>Chirayu Hospital</t>
  </si>
  <si>
    <t>Decision authority</t>
  </si>
  <si>
    <t>Dr. Pooja Gupta</t>
  </si>
  <si>
    <t>Gynecologist</t>
  </si>
  <si>
    <t>Private Clinic</t>
  </si>
  <si>
    <t>Strong patient base</t>
  </si>
  <si>
    <t>Dr. Rajesh Sharma</t>
  </si>
  <si>
    <t>Orthopedic</t>
  </si>
  <si>
    <t>Hamidia Hospital</t>
  </si>
  <si>
    <t>Government + private exposure</t>
  </si>
  <si>
    <t>Dr. Manish Verma</t>
  </si>
  <si>
    <t>Dermatologist</t>
  </si>
  <si>
    <t>Skin Care Clinic</t>
  </si>
  <si>
    <t>High margin practice</t>
  </si>
  <si>
    <t>Dr. Shalini Agrawal</t>
  </si>
  <si>
    <t>Pediatrician</t>
  </si>
  <si>
    <t>Mid segment</t>
  </si>
  <si>
    <t>Dr. Vivek Tiwari</t>
  </si>
  <si>
    <t>General Physician</t>
  </si>
  <si>
    <t>Private Practice</t>
  </si>
  <si>
    <t>High volume OPD</t>
  </si>
  <si>
    <t>Dr. Kiran Patel</t>
  </si>
  <si>
    <t>Ophthalmologist</t>
  </si>
  <si>
    <t>Eye Care Centre</t>
  </si>
  <si>
    <t>Specialist</t>
  </si>
  <si>
    <t>Dr. Sunil Yadav</t>
  </si>
  <si>
    <t>Dentist</t>
  </si>
  <si>
    <t>Dental Clinic</t>
  </si>
  <si>
    <t>Low ticket</t>
  </si>
  <si>
    <t>Dr. Anjali Mishra</t>
  </si>
  <si>
    <t>Psychiatrist</t>
  </si>
  <si>
    <t>Mental Wellness Clinic</t>
  </si>
  <si>
    <t>Urban segment</t>
  </si>
  <si>
    <t>Dr. Sanjay Dixit</t>
  </si>
  <si>
    <t>Indore</t>
  </si>
  <si>
    <t>Bombay Hospital</t>
  </si>
  <si>
    <t>Top tier</t>
  </si>
  <si>
    <t>Dr. Amit Jain</t>
  </si>
  <si>
    <t>CHL Hospital</t>
  </si>
  <si>
    <t>High authority</t>
  </si>
  <si>
    <t>Dr. Neha Agrawal</t>
  </si>
  <si>
    <t>Apollo Clinic</t>
  </si>
  <si>
    <t>Private + premium</t>
  </si>
  <si>
    <t>Dr. Rohit Bhandari</t>
  </si>
  <si>
    <t>Gokuldas Hospital</t>
  </si>
  <si>
    <t>High income</t>
  </si>
  <si>
    <t>Dr. Ritu Sharma</t>
  </si>
  <si>
    <t>Skin Clinic</t>
  </si>
  <si>
    <t>Premium segment</t>
  </si>
  <si>
    <t>Dr. Pankaj Joshi</t>
  </si>
  <si>
    <t>Dr. Deepak Verma</t>
  </si>
  <si>
    <t>Local network</t>
  </si>
  <si>
    <t>Dr. Kavita Mehta</t>
  </si>
  <si>
    <t>Eye Hospital</t>
  </si>
  <si>
    <t>Dr. Nitin Gupta</t>
  </si>
  <si>
    <t>Dr. Shweta Kapoor</t>
  </si>
  <si>
    <t>Mental Health Centre</t>
  </si>
  <si>
    <t>Urban audience</t>
  </si>
  <si>
    <t>Dr. Rakesh Jain</t>
  </si>
  <si>
    <t>Mahaveer Heart Clinic</t>
  </si>
  <si>
    <t>+91 9645486129</t>
  </si>
  <si>
    <t>drrakeshjain8@gmail.com</t>
  </si>
  <si>
    <t>High value contact</t>
  </si>
  <si>
    <t>Dr. Paritosh Rajput</t>
  </si>
  <si>
    <t>DNS Hospital</t>
  </si>
  <si>
    <t>drparitoshrajputcardiologist@gmail.com</t>
  </si>
  <si>
    <t>Email available</t>
  </si>
  <si>
    <t>Dr. K Roshan Rao</t>
  </si>
  <si>
    <t>Apollo Hospital</t>
  </si>
  <si>
    <t>+91 8959907707</t>
  </si>
  <si>
    <t>Apollo hospital</t>
  </si>
  <si>
    <t>Dr. Manoj Bansal</t>
  </si>
  <si>
    <t>Bansal Heart Centre</t>
  </si>
  <si>
    <t>+91 9644461111</t>
  </si>
  <si>
    <t>Bansal brand</t>
  </si>
  <si>
    <t>Dr. Kshitij Dubey</t>
  </si>
  <si>
    <t>Vijay Nagar Clinic</t>
  </si>
  <si>
    <t>+91 9630096960</t>
  </si>
  <si>
    <t>drkshitijdubey@gmail.com</t>
  </si>
  <si>
    <t>Dr. Neelesh Damor</t>
  </si>
  <si>
    <t>C3 Multispeciality Hospital</t>
  </si>
  <si>
    <t>+91 7828095165</t>
  </si>
  <si>
    <t>drneeleshclinic1@gmail.com</t>
  </si>
  <si>
    <t>Hospital</t>
  </si>
  <si>
    <t>Dr. Niranjan Garg</t>
  </si>
  <si>
    <t>Nakshatra Hospital</t>
  </si>
  <si>
    <t>Dr. Siddhant Jain</t>
  </si>
  <si>
    <t>Rhythm Healthcare</t>
  </si>
  <si>
    <t>Healthcare center</t>
  </si>
  <si>
    <t>Dr. Sarita Rao</t>
  </si>
  <si>
    <t>mail@drmanishverma.com</t>
  </si>
  <si>
    <t>62647 63216</t>
  </si>
  <si>
    <t>Dr. Skand Kumar Trivedi</t>
  </si>
  <si>
    <t>Cardiology</t>
  </si>
  <si>
    <t>0755-4086000</t>
  </si>
  <si>
    <t>skand.trivedi@bansalhospital.com</t>
  </si>
  <si>
    <t>MD, DM, DNB (25+ Yrs). Chief Interventional Cardiologist; Visionary leader in MP cardiology. NMC: 5674 (MP)</t>
  </si>
  <si>
    <t>Dr. Rajneesh Kachhara</t>
  </si>
  <si>
    <t>Neurosurgery</t>
  </si>
  <si>
    <t>Medanta Hospital</t>
  </si>
  <si>
    <t>0731-4747000</t>
  </si>
  <si>
    <t>info@medanta.org</t>
  </si>
  <si>
    <t>MS, MCh (25+ Yrs). Director of Neurosciences; Elite specialist in skull base surgery. NMC: 2589 (MP)</t>
  </si>
  <si>
    <t>Dr. Vinit Pandey</t>
  </si>
  <si>
    <t>CTVS (Cardiac Surgery)</t>
  </si>
  <si>
    <t>0731-4747068</t>
  </si>
  <si>
    <t>vinit.pandey@medanta.org</t>
  </si>
  <si>
    <t>MS, MCh (20+ Yrs). Director CTVS; Renowned for high-success CABG and valve surgeries. NMC: 4122 (MP)</t>
  </si>
  <si>
    <t>Dr. Aaditya Sirohi</t>
  </si>
  <si>
    <t>CTVS Surgery</t>
  </si>
  <si>
    <t>AIIMS Bhopal</t>
  </si>
  <si>
    <t>0755-2672317</t>
  </si>
  <si>
    <t>aaditya.ctvs@aiimsbhopal.edu.in</t>
  </si>
  <si>
    <t>Asst. Professor. Specialized in complex congenital heart surgeries. NMC: 12054</t>
  </si>
  <si>
    <t>Dr. Gopal Batni</t>
  </si>
  <si>
    <t>Internal Medicine</t>
  </si>
  <si>
    <t>Apollo Sage Hospital</t>
  </si>
  <si>
    <t>0755-4308111</t>
  </si>
  <si>
    <t>gopal.batni@apollosage.in</t>
  </si>
  <si>
    <t>MD Medicine (42+ Yrs). Senior Consultant; Legendary figure in general medicine in Bhopal. NMC: 2134 (MP)</t>
  </si>
  <si>
    <t>Dr. Neeraj Jain</t>
  </si>
  <si>
    <t>Gastroenterology</t>
  </si>
  <si>
    <t>Care CHL Hospital</t>
  </si>
  <si>
    <t>0731-4774444</t>
  </si>
  <si>
    <t>neeraj.jain@carehospitals.com</t>
  </si>
  <si>
    <t>MD, DM Gastro (34+ Yrs). HOD &amp; Senior Consultant; Expert in advanced therapeutic endoscopy. NMC: 5892 (MP)</t>
  </si>
  <si>
    <t>Dr. Amit Joshi</t>
  </si>
  <si>
    <t>Gastro / Transplant</t>
  </si>
  <si>
    <t>Bombay Hospital Indore</t>
  </si>
  <si>
    <t>0731-2558866</t>
  </si>
  <si>
    <t>amit.joshi@bombayhospitalindore.com</t>
  </si>
  <si>
    <t>Deputy Medical Superintendent. Leader in organ transplant and GI healthcare quality. NMC: 6214 (MP)</t>
  </si>
  <si>
    <t>Dr. Seetha Lekshmi B</t>
  </si>
  <si>
    <t>Neurology</t>
  </si>
  <si>
    <t>seetha.lekshmi@apollosage.in</t>
  </si>
  <si>
    <t>MD, DM Neuro (14+ Yrs). Acute Stroke specialist; 97% patient recommendation. NMC: 14589</t>
  </si>
  <si>
    <t>Dr. Rohit Joshi</t>
  </si>
  <si>
    <t>Pediatric Neurology</t>
  </si>
  <si>
    <t>0755-4086099</t>
  </si>
  <si>
    <t>rohit.joshi@bansalhospital.com</t>
  </si>
  <si>
    <t>MD Ped, Fellow Neuro. Top Child Neurologist; Specialized in epilepsy and autism. NMC: 8452 (MP)</t>
  </si>
  <si>
    <t>Dr. Vikram Balwani</t>
  </si>
  <si>
    <t>Critical Care / Medicine</t>
  </si>
  <si>
    <t>Choithram Hospital</t>
  </si>
  <si>
    <t>0731-4206750</t>
  </si>
  <si>
    <t>vikram.balwani@choithram.org</t>
  </si>
  <si>
    <t>HOD Critical Care (25+ Yrs). Renowned for ICU management and high-complexity internal medicine. NMC: 5621 (MP)</t>
  </si>
  <si>
    <t>Dr. Santosh Choudhary</t>
  </si>
  <si>
    <t>Ophthalmology</t>
  </si>
  <si>
    <t>Sagar Multispeciality Hospital</t>
  </si>
  <si>
    <t>contact@smhbhopal.com</t>
  </si>
  <si>
    <t>MS Ophth (41+ Yrs). Senior Consultant; Massive volume of successful cataract surgeries. NMC: 3215 (MP)</t>
  </si>
  <si>
    <t>Dr. Arpit Tiwari</t>
  </si>
  <si>
    <t>Orthopaedics</t>
  </si>
  <si>
    <t>Indore Orthopaedic Centre</t>
  </si>
  <si>
    <t>0731-2556067</t>
  </si>
  <si>
    <t>arpit.tiwari@indoreortho.com</t>
  </si>
  <si>
    <t>MS Ortho (15+ Yrs). Joint Replacement Expert; Known for minimally invasive surgeries. NMC: 7842 (MP)</t>
  </si>
  <si>
    <t>Dr. Abhishek Agrawal</t>
  </si>
  <si>
    <t>abhishek.agrawal@choithram.org</t>
  </si>
  <si>
    <t>MD Medicine. Expert in complex infectious diseases and geriatric care. NMC: 9632 (MP)</t>
  </si>
  <si>
    <t>Dr. Deepti Gupta</t>
  </si>
  <si>
    <t>Gynaecology</t>
  </si>
  <si>
    <t>deepti.gupta@bansalhospital.com</t>
  </si>
  <si>
    <t>MS Obs &amp; Gyn (20+ Yrs). Top-rated laparoscopic surgeon; Specialized in high-risk pregnancies. NMC: 8521 (MP)</t>
  </si>
  <si>
    <t>Dr. Manoj Kumar Gupta</t>
  </si>
  <si>
    <t>Critical Care</t>
  </si>
  <si>
    <t>0731-4747100</t>
  </si>
  <si>
    <t>manoj.gupta@medanta.org</t>
  </si>
  <si>
    <t>MD Medicine (20+ Yrs). Principal Consultant; Leading expert in 5G-enabled emergency care. NMC: 4587 (MP)</t>
  </si>
  <si>
    <t>Dr. JP Sharma</t>
  </si>
  <si>
    <t>Anaesthesiology</t>
  </si>
  <si>
    <t>jp.sharma@aiimsbhopal.edu.in</t>
  </si>
  <si>
    <t>Professor &amp; HOD. Academic Veteran; Specialized in critical care and pain management. NMC: 10245</t>
  </si>
  <si>
    <t>Dr. Onkar Patel</t>
  </si>
  <si>
    <t>onkar.patel@bansalhospital.com</t>
  </si>
  <si>
    <t>Senior Consultant. Specialized in therapeutic ERCP and hepatology. NMC: 7412 (MP)</t>
  </si>
  <si>
    <t>Dr. Santosh Agrawal</t>
  </si>
  <si>
    <t>Urology</t>
  </si>
  <si>
    <t>santosh.agrawal@bansalhospital.com</t>
  </si>
  <si>
    <t>MS, MCh Urology. Renowned kidney transplant surgeon and urological expert. NMC: 6985 (MP)</t>
  </si>
  <si>
    <t>Dr. Akhil Kumar Tiwari</t>
  </si>
  <si>
    <t>Oncology</t>
  </si>
  <si>
    <t>akhil.tiwari@apollosage.in</t>
  </si>
  <si>
    <t>Senior Consultant. Leading medical oncologist in Central India for solid tumors. NMC: 11025 (MP)</t>
  </si>
  <si>
    <t>Dr. Nirendra Kumar Rai</t>
  </si>
  <si>
    <t>nirendra.rai@apollosage.in</t>
  </si>
  <si>
    <t>MD, DM Neuro. Expert in Parkinson's disease and movement disorders. NMC: 9635 (MP)</t>
  </si>
  <si>
    <t>91 7470890443</t>
  </si>
  <si>
    <t>Company/Clinic</t>
  </si>
  <si>
    <t>Doctor</t>
  </si>
  <si>
    <t>Call/WhatsApp</t>
  </si>
  <si>
    <t>Awaiting Reply</t>
  </si>
  <si>
    <t>Personalized message sent; high value contact</t>
  </si>
  <si>
    <t>Email available; DNS Hospital</t>
  </si>
  <si>
    <t>Apollo Hospital contact; no email on file</t>
  </si>
  <si>
    <t>Own branded clinic; strong network</t>
  </si>
  <si>
    <t>Email available; Vijay Nagar area</t>
  </si>
  <si>
    <t>C3 Hospital</t>
  </si>
  <si>
    <t>C3 Multispeciality; email confirmed</t>
  </si>
  <si>
    <t>Nakshatra Hospital; no email on file</t>
  </si>
  <si>
    <t>Rhythm Healthcare; younger specialist</t>
  </si>
  <si>
    <t>Apollo Hospital; no email on file</t>
  </si>
  <si>
    <t>91 9893925000</t>
  </si>
  <si>
    <t>91 7067129549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</si>
</sst>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6B728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0"/>
      <color rgb="FF6B7280"/>
      <name val="Aptos Narrow"/>
      <family val="2"/>
      <scheme val="minor"/>
    </font>
    <font>
      <b/>
      <sz val="22"/>
      <color rgb="FF1D4ED8"/>
      <name val="Aptos Narrow"/>
      <family val="2"/>
      <scheme val="minor"/>
    </font>
    <font>
      <b/>
      <sz val="22"/>
      <color rgb="FF059669"/>
      <name val="Aptos Narrow"/>
      <family val="2"/>
      <scheme val="minor"/>
    </font>
    <font>
      <b/>
      <sz val="22"/>
      <color rgb="FFD97706"/>
      <name val="Aptos Narrow"/>
      <family val="2"/>
      <scheme val="minor"/>
    </font>
    <font>
      <b/>
      <sz val="14"/>
      <color rgb="FFDC2626"/>
      <name val="Aptos Narrow"/>
      <family val="2"/>
      <scheme val="minor"/>
    </font>
    <font>
      <b/>
      <sz val="11"/>
      <color rgb="FFD97706"/>
      <name val="Aptos Narrow"/>
      <family val="2"/>
      <scheme val="minor"/>
    </font>
    <font>
      <b/>
      <sz val="18"/>
      <color rgb="FF1F2937"/>
      <name val="Aptos Narrow"/>
      <family val="2"/>
      <scheme val="minor"/>
    </font>
    <font>
      <b/>
      <sz val="18"/>
      <color rgb="FF059669"/>
      <name val="Aptos Narrow"/>
      <family val="2"/>
      <scheme val="minor"/>
    </font>
    <font>
      <b/>
      <sz val="18"/>
      <color rgb="FFD97706"/>
      <name val="Aptos Narrow"/>
      <family val="2"/>
      <scheme val="minor"/>
    </font>
    <font>
      <b/>
      <sz val="18"/>
      <color rgb="FFDC2626"/>
      <name val="Aptos Narrow"/>
      <family val="2"/>
      <scheme val="minor"/>
    </font>
    <font>
      <b/>
      <sz val="10"/>
      <color rgb="FF1D4ED8"/>
      <name val="Aptos Narrow"/>
      <family val="2"/>
      <scheme val="minor"/>
    </font>
    <font>
      <sz val="10"/>
      <color rgb="FF1F2937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59669"/>
      <name val="Aptos Narrow"/>
      <family val="2"/>
      <scheme val="minor"/>
    </font>
    <font>
      <sz val="10"/>
      <color rgb="FFD97706"/>
      <name val="Aptos Narrow"/>
      <family val="2"/>
      <scheme val="minor"/>
    </font>
    <font>
      <sz val="10"/>
      <color rgb="FFDC2626"/>
      <name val="Aptos Narrow"/>
      <family val="2"/>
      <scheme val="minor"/>
    </font>
    <font>
      <b/>
      <sz val="10"/>
      <color rgb="FFDC2626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059669"/>
      <name val="Aptos Narrow"/>
      <family val="2"/>
      <scheme val="minor"/>
    </font>
    <font>
      <b/>
      <sz val="10"/>
      <color rgb="FFD97706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i/>
      <sz val="9"/>
      <color rgb="FF9C5700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9E480E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" fillId="9" borderId="0" xfId="0" applyFont="1" applyFill="1" applyAlignment="1">
      <alignment vertical="center" wrapText="1"/>
    </xf>
    <xf numFmtId="14" fontId="0" fillId="0" borderId="0" xfId="0" applyNumberFormat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29" fillId="0" borderId="0" xfId="0" applyFont="1"/>
    <xf numFmtId="0" fontId="30" fillId="0" borderId="0" xfId="0" applyFont="1"/>
    <xf numFmtId="0" fontId="7" fillId="2" borderId="0" xfId="0" applyFont="1" applyFill="1"/>
    <xf numFmtId="0" fontId="26" fillId="3" borderId="0" xfId="0" applyFont="1" applyFill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6" fillId="4" borderId="0" xfId="0" applyFont="1" applyFill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1" fillId="13" borderId="0" xfId="0" applyFont="1" applyFill="1"/>
    <xf numFmtId="0" fontId="18" fillId="5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6" fillId="4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1" fillId="12" borderId="0" xfId="0" applyFont="1" applyFill="1" applyAlignment="1">
      <alignment wrapText="1"/>
    </xf>
    <xf numFmtId="0" fontId="22" fillId="12" borderId="0" xfId="0" applyFont="1" applyFill="1" applyAlignment="1">
      <alignment wrapText="1"/>
    </xf>
    <xf numFmtId="0" fontId="20" fillId="12" borderId="0" xfId="0" applyFont="1" applyFill="1" applyAlignment="1">
      <alignment wrapText="1"/>
    </xf>
    <xf numFmtId="0" fontId="6" fillId="12" borderId="0" xfId="0" applyFont="1" applyFill="1" applyAlignment="1">
      <alignment wrapText="1"/>
    </xf>
    <xf numFmtId="0" fontId="0" fillId="12" borderId="0" xfId="0" applyFill="1" applyAlignment="1">
      <alignment wrapText="1"/>
    </xf>
    <xf numFmtId="0" fontId="23" fillId="12" borderId="0" xfId="0" applyFont="1" applyFill="1" applyAlignment="1">
      <alignment wrapText="1"/>
    </xf>
    <xf numFmtId="16" fontId="20" fillId="12" borderId="0" xfId="0" applyNumberFormat="1" applyFont="1" applyFill="1" applyAlignment="1">
      <alignment wrapText="1"/>
    </xf>
    <xf numFmtId="0" fontId="21" fillId="14" borderId="0" xfId="0" applyFont="1" applyFill="1" applyAlignment="1">
      <alignment wrapText="1"/>
    </xf>
    <xf numFmtId="0" fontId="26" fillId="7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19" fillId="10" borderId="0" xfId="0" applyFont="1" applyFill="1" applyAlignment="1">
      <alignment wrapText="1"/>
    </xf>
    <xf numFmtId="0" fontId="24" fillId="14" borderId="0" xfId="0" applyFont="1" applyFill="1" applyAlignment="1">
      <alignment wrapText="1"/>
    </xf>
    <xf numFmtId="0" fontId="25" fillId="14" borderId="0" xfId="0" applyFont="1" applyFill="1" applyAlignment="1">
      <alignment wrapText="1"/>
    </xf>
    <xf numFmtId="0" fontId="28" fillId="11" borderId="0" xfId="0" applyFont="1" applyFill="1" applyAlignment="1">
      <alignment wrapText="1"/>
    </xf>
    <xf numFmtId="0" fontId="27" fillId="12" borderId="0" xfId="0" applyFont="1" applyFill="1" applyAlignment="1">
      <alignment wrapText="1"/>
    </xf>
    <xf numFmtId="0" fontId="32" fillId="3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0" fillId="15" borderId="0" xfId="0" applyFill="1" applyAlignment="1">
      <alignment horizontal="center" vertical="center"/>
    </xf>
    <xf numFmtId="1" fontId="0" fillId="15" borderId="0" xfId="0" applyNumberFormat="1" applyFill="1" applyAlignment="1">
      <alignment horizontal="center" vertical="center"/>
    </xf>
    <xf numFmtId="14" fontId="0" fillId="15" borderId="0" xfId="0" applyNumberFormat="1" applyFill="1" applyAlignment="1">
      <alignment horizontal="center" vertical="center"/>
    </xf>
    <xf numFmtId="0" fontId="0" fillId="15" borderId="0" xfId="0" applyFill="1"/>
    <xf numFmtId="0" fontId="0" fillId="0" borderId="0" xfId="0" applyAlignment="1">
      <alignment horizontal="left" vertical="top"/>
    </xf>
    <xf numFmtId="0" fontId="3" fillId="0" borderId="0" xfId="1"/>
    <xf numFmtId="0" fontId="2" fillId="2" borderId="0" xfId="0" applyFont="1" applyFill="1" applyAlignment="1">
      <alignment horizont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24"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FFEB9C"/>
        </patternFill>
      </fill>
    </dxf>
    <dxf>
      <font>
        <b/>
        <i val="0"/>
      </font>
      <fill>
        <patternFill patternType="solid">
          <fgColor indexed="64"/>
          <bgColor rgb="FFF4CCCC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CE4D6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FFEB9C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9CBEC2A-94B6-4095-90A2-6B7744079432}">
  <we:reference id="wa200008745" version="1.0.0.0" store="en-US" storeType="OMEX"/>
  <we:alternateReferences>
    <we:reference id="wa200008745" version="1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707FFE9-0796-4824-983D-7759C1BCEC5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c9c8b8b-3adc-4380-8b31-c33d95032a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medant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131C-C926-4E18-8B0C-9CC28B06C751}">
  <dimension ref="A1:G97"/>
  <sheetViews>
    <sheetView topLeftCell="A7" zoomScale="87" zoomScaleNormal="87" workbookViewId="0">
      <selection activeCell="A7" sqref="A1:A1048576"/>
    </sheetView>
  </sheetViews>
  <sheetFormatPr defaultRowHeight="14.5" x14ac:dyDescent="0.35"/>
  <cols>
    <col min="1" max="1" width="61.90625" customWidth="1"/>
    <col min="2" max="3" width="13.54296875" customWidth="1"/>
    <col min="4" max="4" width="11.26953125" customWidth="1"/>
    <col min="5" max="5" width="16.90625" customWidth="1"/>
    <col min="6" max="6" width="24.7265625" customWidth="1"/>
    <col min="7" max="7" width="33.72656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 t="s">
        <v>8</v>
      </c>
      <c r="C2" s="4" t="s">
        <v>9</v>
      </c>
      <c r="E2" t="s">
        <v>10</v>
      </c>
    </row>
    <row r="3" spans="1:7" x14ac:dyDescent="0.35">
      <c r="A3" s="4" t="s">
        <v>11</v>
      </c>
      <c r="B3" s="4" t="s">
        <v>8</v>
      </c>
      <c r="C3" s="4" t="s">
        <v>9</v>
      </c>
      <c r="E3" t="s">
        <v>12</v>
      </c>
    </row>
    <row r="4" spans="1:7" x14ac:dyDescent="0.35">
      <c r="A4" s="4" t="s">
        <v>13</v>
      </c>
      <c r="B4" s="4" t="s">
        <v>8</v>
      </c>
      <c r="C4" s="4" t="s">
        <v>9</v>
      </c>
      <c r="E4" t="s">
        <v>12</v>
      </c>
    </row>
    <row r="5" spans="1:7" x14ac:dyDescent="0.35">
      <c r="A5" s="4" t="s">
        <v>14</v>
      </c>
      <c r="B5" s="4" t="s">
        <v>8</v>
      </c>
      <c r="C5" s="4" t="s">
        <v>9</v>
      </c>
      <c r="E5" t="s">
        <v>12</v>
      </c>
    </row>
    <row r="6" spans="1:7" x14ac:dyDescent="0.35">
      <c r="A6" s="4" t="s">
        <v>15</v>
      </c>
      <c r="B6" s="4" t="s">
        <v>8</v>
      </c>
      <c r="C6" s="4" t="s">
        <v>9</v>
      </c>
      <c r="E6" t="s">
        <v>12</v>
      </c>
    </row>
    <row r="7" spans="1:7" x14ac:dyDescent="0.35">
      <c r="A7" s="4"/>
      <c r="B7" s="4"/>
      <c r="C7" s="4"/>
    </row>
    <row r="8" spans="1:7" x14ac:dyDescent="0.35">
      <c r="A8" s="3" t="s">
        <v>16</v>
      </c>
      <c r="B8" s="4" t="s">
        <v>8</v>
      </c>
      <c r="C8" s="4" t="s">
        <v>9</v>
      </c>
      <c r="E8" t="s">
        <v>17</v>
      </c>
    </row>
    <row r="9" spans="1:7" x14ac:dyDescent="0.35">
      <c r="A9" s="4" t="s">
        <v>18</v>
      </c>
      <c r="B9" s="4" t="s">
        <v>8</v>
      </c>
      <c r="C9" s="4" t="s">
        <v>9</v>
      </c>
      <c r="E9" t="s">
        <v>19</v>
      </c>
      <c r="F9" t="s">
        <v>20</v>
      </c>
    </row>
    <row r="10" spans="1:7" x14ac:dyDescent="0.35">
      <c r="A10" s="4" t="s">
        <v>21</v>
      </c>
      <c r="B10" s="4" t="s">
        <v>8</v>
      </c>
      <c r="C10" s="4" t="s">
        <v>9</v>
      </c>
      <c r="E10" t="s">
        <v>19</v>
      </c>
      <c r="F10" t="s">
        <v>22</v>
      </c>
    </row>
    <row r="11" spans="1:7" x14ac:dyDescent="0.35">
      <c r="A11" s="4" t="s">
        <v>23</v>
      </c>
      <c r="B11" s="4" t="s">
        <v>8</v>
      </c>
      <c r="C11" s="4" t="s">
        <v>9</v>
      </c>
      <c r="E11" t="s">
        <v>19</v>
      </c>
      <c r="F11" t="s">
        <v>24</v>
      </c>
    </row>
    <row r="12" spans="1:7" x14ac:dyDescent="0.35">
      <c r="A12" s="4" t="s">
        <v>25</v>
      </c>
      <c r="B12" s="4" t="s">
        <v>8</v>
      </c>
      <c r="C12" s="4" t="s">
        <v>9</v>
      </c>
      <c r="E12" t="s">
        <v>19</v>
      </c>
      <c r="F12" t="s">
        <v>26</v>
      </c>
    </row>
    <row r="13" spans="1:7" x14ac:dyDescent="0.35">
      <c r="A13" s="4" t="s">
        <v>27</v>
      </c>
      <c r="B13" s="4" t="s">
        <v>8</v>
      </c>
      <c r="C13" s="4" t="s">
        <v>9</v>
      </c>
      <c r="E13" t="s">
        <v>19</v>
      </c>
      <c r="F13" t="s">
        <v>28</v>
      </c>
    </row>
    <row r="14" spans="1:7" x14ac:dyDescent="0.35">
      <c r="A14" s="4" t="s">
        <v>29</v>
      </c>
      <c r="B14" s="4" t="s">
        <v>30</v>
      </c>
      <c r="C14" s="4" t="s">
        <v>9</v>
      </c>
      <c r="E14" t="s">
        <v>19</v>
      </c>
    </row>
    <row r="15" spans="1:7" x14ac:dyDescent="0.35">
      <c r="A15" s="4" t="s">
        <v>31</v>
      </c>
      <c r="B15" s="4" t="s">
        <v>30</v>
      </c>
      <c r="C15" s="4" t="s">
        <v>9</v>
      </c>
      <c r="E15" t="s">
        <v>19</v>
      </c>
    </row>
    <row r="16" spans="1:7" x14ac:dyDescent="0.35">
      <c r="A16" s="4" t="s">
        <v>32</v>
      </c>
      <c r="B16" s="4" t="s">
        <v>30</v>
      </c>
      <c r="C16" s="4" t="s">
        <v>9</v>
      </c>
      <c r="E16" t="s">
        <v>19</v>
      </c>
    </row>
    <row r="17" spans="1:7" x14ac:dyDescent="0.35">
      <c r="A17" s="4"/>
      <c r="B17" s="4"/>
      <c r="C17" s="4"/>
    </row>
    <row r="18" spans="1:7" x14ac:dyDescent="0.35">
      <c r="A18" s="5" t="s">
        <v>33</v>
      </c>
      <c r="B18" s="4" t="s">
        <v>30</v>
      </c>
      <c r="C18" s="4" t="s">
        <v>34</v>
      </c>
      <c r="E18" t="s">
        <v>35</v>
      </c>
    </row>
    <row r="19" spans="1:7" x14ac:dyDescent="0.35">
      <c r="A19" s="4" t="s">
        <v>36</v>
      </c>
      <c r="B19" s="4" t="s">
        <v>30</v>
      </c>
      <c r="C19" s="4" t="s">
        <v>37</v>
      </c>
      <c r="E19" t="s">
        <v>19</v>
      </c>
      <c r="F19" t="s">
        <v>24</v>
      </c>
    </row>
    <row r="20" spans="1:7" x14ac:dyDescent="0.35">
      <c r="A20" s="4" t="s">
        <v>38</v>
      </c>
      <c r="B20" s="4" t="s">
        <v>30</v>
      </c>
      <c r="C20" s="4" t="s">
        <v>37</v>
      </c>
      <c r="E20" t="s">
        <v>19</v>
      </c>
      <c r="F20" t="s">
        <v>39</v>
      </c>
    </row>
    <row r="21" spans="1:7" x14ac:dyDescent="0.35">
      <c r="A21" s="4" t="s">
        <v>40</v>
      </c>
      <c r="B21" s="4" t="s">
        <v>30</v>
      </c>
      <c r="C21" s="4" t="s">
        <v>37</v>
      </c>
      <c r="E21" t="s">
        <v>19</v>
      </c>
      <c r="F21" t="s">
        <v>22</v>
      </c>
    </row>
    <row r="22" spans="1:7" x14ac:dyDescent="0.35">
      <c r="A22" s="4" t="s">
        <v>41</v>
      </c>
      <c r="B22" s="4" t="s">
        <v>30</v>
      </c>
      <c r="C22" s="4" t="s">
        <v>37</v>
      </c>
      <c r="E22" t="s">
        <v>19</v>
      </c>
      <c r="F22" t="s">
        <v>42</v>
      </c>
    </row>
    <row r="23" spans="1:7" x14ac:dyDescent="0.35">
      <c r="A23" s="4" t="s">
        <v>43</v>
      </c>
      <c r="B23" s="4" t="s">
        <v>30</v>
      </c>
      <c r="C23" s="4" t="s">
        <v>37</v>
      </c>
      <c r="E23" t="s">
        <v>19</v>
      </c>
      <c r="F23" t="s">
        <v>20</v>
      </c>
    </row>
    <row r="24" spans="1:7" x14ac:dyDescent="0.35">
      <c r="A24" s="4" t="s">
        <v>44</v>
      </c>
      <c r="B24" s="4" t="s">
        <v>30</v>
      </c>
      <c r="C24" s="4" t="s">
        <v>37</v>
      </c>
      <c r="E24" t="s">
        <v>19</v>
      </c>
      <c r="F24" t="s">
        <v>26</v>
      </c>
    </row>
    <row r="25" spans="1:7" x14ac:dyDescent="0.35">
      <c r="A25" s="4" t="s">
        <v>45</v>
      </c>
      <c r="B25" s="4" t="s">
        <v>30</v>
      </c>
      <c r="C25" s="4" t="s">
        <v>37</v>
      </c>
      <c r="E25" t="s">
        <v>19</v>
      </c>
      <c r="F25" t="s">
        <v>46</v>
      </c>
    </row>
    <row r="26" spans="1:7" x14ac:dyDescent="0.35">
      <c r="A26" s="4" t="s">
        <v>47</v>
      </c>
      <c r="B26" s="4" t="s">
        <v>30</v>
      </c>
      <c r="C26" s="4" t="s">
        <v>37</v>
      </c>
      <c r="E26" t="s">
        <v>19</v>
      </c>
      <c r="F26" t="s">
        <v>48</v>
      </c>
    </row>
    <row r="27" spans="1:7" x14ac:dyDescent="0.35">
      <c r="A27" s="4" t="s">
        <v>49</v>
      </c>
      <c r="B27" s="4" t="s">
        <v>30</v>
      </c>
      <c r="C27" s="4" t="s">
        <v>37</v>
      </c>
      <c r="E27" t="s">
        <v>19</v>
      </c>
      <c r="F27" t="s">
        <v>28</v>
      </c>
    </row>
    <row r="28" spans="1:7" x14ac:dyDescent="0.35">
      <c r="A28" s="4" t="s">
        <v>50</v>
      </c>
      <c r="B28" s="4" t="s">
        <v>30</v>
      </c>
      <c r="C28" s="4" t="s">
        <v>9</v>
      </c>
      <c r="E28" t="s">
        <v>19</v>
      </c>
      <c r="F28" t="s">
        <v>51</v>
      </c>
    </row>
    <row r="29" spans="1:7" x14ac:dyDescent="0.35">
      <c r="A29" s="4"/>
      <c r="B29" s="4"/>
      <c r="C29" s="4"/>
    </row>
    <row r="30" spans="1:7" x14ac:dyDescent="0.35">
      <c r="A30" s="3" t="s">
        <v>52</v>
      </c>
      <c r="B30" s="4" t="s">
        <v>8</v>
      </c>
      <c r="C30" s="4" t="s">
        <v>9</v>
      </c>
      <c r="E30" t="s">
        <v>53</v>
      </c>
    </row>
    <row r="31" spans="1:7" x14ac:dyDescent="0.35">
      <c r="A31" s="6" t="s">
        <v>54</v>
      </c>
      <c r="B31" s="4"/>
      <c r="C31" s="4"/>
    </row>
    <row r="32" spans="1:7" x14ac:dyDescent="0.35">
      <c r="A32" s="4" t="s">
        <v>55</v>
      </c>
      <c r="B32" s="4" t="s">
        <v>8</v>
      </c>
      <c r="C32" s="4" t="s">
        <v>9</v>
      </c>
      <c r="E32" t="s">
        <v>56</v>
      </c>
      <c r="F32" s="4" t="s">
        <v>127</v>
      </c>
      <c r="G32" t="s">
        <v>136</v>
      </c>
    </row>
    <row r="33" spans="1:7" x14ac:dyDescent="0.35">
      <c r="A33" s="4" t="s">
        <v>57</v>
      </c>
      <c r="B33" s="4" t="s">
        <v>8</v>
      </c>
      <c r="C33" s="4" t="s">
        <v>9</v>
      </c>
      <c r="E33" t="s">
        <v>56</v>
      </c>
      <c r="F33" s="4" t="s">
        <v>127</v>
      </c>
      <c r="G33" t="s">
        <v>137</v>
      </c>
    </row>
    <row r="34" spans="1:7" x14ac:dyDescent="0.35">
      <c r="A34" s="4" t="s">
        <v>58</v>
      </c>
      <c r="B34" s="4" t="s">
        <v>8</v>
      </c>
      <c r="C34" s="4" t="s">
        <v>9</v>
      </c>
      <c r="E34" t="s">
        <v>56</v>
      </c>
      <c r="F34" s="4" t="s">
        <v>127</v>
      </c>
      <c r="G34" t="s">
        <v>138</v>
      </c>
    </row>
    <row r="35" spans="1:7" x14ac:dyDescent="0.35">
      <c r="A35" s="6" t="s">
        <v>59</v>
      </c>
      <c r="B35" s="4"/>
      <c r="C35" s="4"/>
    </row>
    <row r="36" spans="1:7" x14ac:dyDescent="0.35">
      <c r="A36" s="4" t="s">
        <v>60</v>
      </c>
      <c r="B36" s="4" t="s">
        <v>8</v>
      </c>
      <c r="C36" s="4" t="s">
        <v>9</v>
      </c>
      <c r="E36" t="s">
        <v>56</v>
      </c>
      <c r="F36" s="4" t="s">
        <v>128</v>
      </c>
      <c r="G36" t="s">
        <v>139</v>
      </c>
    </row>
    <row r="37" spans="1:7" x14ac:dyDescent="0.35">
      <c r="A37" s="4" t="s">
        <v>61</v>
      </c>
      <c r="B37" s="4" t="s">
        <v>8</v>
      </c>
      <c r="C37" s="4" t="s">
        <v>9</v>
      </c>
      <c r="E37" t="s">
        <v>56</v>
      </c>
      <c r="F37" s="4" t="s">
        <v>128</v>
      </c>
      <c r="G37" t="s">
        <v>140</v>
      </c>
    </row>
    <row r="38" spans="1:7" x14ac:dyDescent="0.35">
      <c r="A38" s="4" t="s">
        <v>62</v>
      </c>
      <c r="B38" s="4" t="s">
        <v>8</v>
      </c>
      <c r="C38" s="4" t="s">
        <v>9</v>
      </c>
      <c r="E38" t="s">
        <v>56</v>
      </c>
      <c r="F38" s="4" t="s">
        <v>128</v>
      </c>
      <c r="G38" t="s">
        <v>141</v>
      </c>
    </row>
    <row r="39" spans="1:7" x14ac:dyDescent="0.35">
      <c r="A39" s="6" t="s">
        <v>63</v>
      </c>
      <c r="B39" s="4"/>
      <c r="C39" s="4"/>
    </row>
    <row r="40" spans="1:7" x14ac:dyDescent="0.35">
      <c r="A40" s="4" t="s">
        <v>64</v>
      </c>
      <c r="B40" s="4" t="s">
        <v>8</v>
      </c>
      <c r="C40" s="4" t="s">
        <v>9</v>
      </c>
      <c r="E40" t="s">
        <v>56</v>
      </c>
      <c r="F40" s="4" t="s">
        <v>129</v>
      </c>
      <c r="G40" t="s">
        <v>142</v>
      </c>
    </row>
    <row r="41" spans="1:7" x14ac:dyDescent="0.35">
      <c r="A41" s="4" t="s">
        <v>65</v>
      </c>
      <c r="B41" s="4" t="s">
        <v>8</v>
      </c>
      <c r="C41" s="4" t="s">
        <v>9</v>
      </c>
      <c r="E41" t="s">
        <v>56</v>
      </c>
      <c r="F41" s="4" t="s">
        <v>129</v>
      </c>
      <c r="G41" t="s">
        <v>143</v>
      </c>
    </row>
    <row r="42" spans="1:7" x14ac:dyDescent="0.35">
      <c r="A42" s="4" t="s">
        <v>66</v>
      </c>
      <c r="B42" s="4" t="s">
        <v>8</v>
      </c>
      <c r="C42" s="4" t="s">
        <v>9</v>
      </c>
      <c r="E42" t="s">
        <v>56</v>
      </c>
      <c r="F42" s="4" t="s">
        <v>129</v>
      </c>
      <c r="G42" t="s">
        <v>144</v>
      </c>
    </row>
    <row r="43" spans="1:7" x14ac:dyDescent="0.35">
      <c r="A43" s="6" t="s">
        <v>67</v>
      </c>
      <c r="B43" s="4"/>
      <c r="C43" s="4"/>
    </row>
    <row r="44" spans="1:7" x14ac:dyDescent="0.35">
      <c r="A44" s="4" t="s">
        <v>68</v>
      </c>
      <c r="B44" s="4" t="s">
        <v>8</v>
      </c>
      <c r="C44" s="4" t="s">
        <v>9</v>
      </c>
      <c r="E44" t="s">
        <v>56</v>
      </c>
      <c r="F44" s="4" t="s">
        <v>26</v>
      </c>
      <c r="G44" t="s">
        <v>145</v>
      </c>
    </row>
    <row r="45" spans="1:7" x14ac:dyDescent="0.35">
      <c r="A45" s="4" t="s">
        <v>69</v>
      </c>
      <c r="B45" s="4" t="s">
        <v>8</v>
      </c>
      <c r="C45" s="4" t="s">
        <v>9</v>
      </c>
      <c r="E45" t="s">
        <v>56</v>
      </c>
      <c r="F45" s="4" t="s">
        <v>26</v>
      </c>
      <c r="G45" t="s">
        <v>146</v>
      </c>
    </row>
    <row r="46" spans="1:7" x14ac:dyDescent="0.35">
      <c r="A46" s="4" t="s">
        <v>70</v>
      </c>
      <c r="B46" s="4" t="s">
        <v>8</v>
      </c>
      <c r="C46" s="4" t="s">
        <v>9</v>
      </c>
      <c r="E46" t="s">
        <v>56</v>
      </c>
      <c r="F46" s="4" t="s">
        <v>26</v>
      </c>
      <c r="G46" t="s">
        <v>147</v>
      </c>
    </row>
    <row r="47" spans="1:7" x14ac:dyDescent="0.35">
      <c r="A47" s="6" t="s">
        <v>71</v>
      </c>
      <c r="B47" s="4"/>
      <c r="C47" s="4"/>
    </row>
    <row r="48" spans="1:7" x14ac:dyDescent="0.35">
      <c r="A48" s="4" t="s">
        <v>72</v>
      </c>
      <c r="B48" s="4" t="s">
        <v>8</v>
      </c>
      <c r="C48" s="4" t="s">
        <v>9</v>
      </c>
      <c r="E48" t="s">
        <v>56</v>
      </c>
      <c r="F48" s="4" t="s">
        <v>130</v>
      </c>
      <c r="G48" t="s">
        <v>148</v>
      </c>
    </row>
    <row r="49" spans="1:7" x14ac:dyDescent="0.35">
      <c r="A49" s="4" t="s">
        <v>73</v>
      </c>
      <c r="B49" s="4" t="s">
        <v>8</v>
      </c>
      <c r="C49" s="4" t="s">
        <v>9</v>
      </c>
      <c r="E49" t="s">
        <v>56</v>
      </c>
      <c r="F49" s="4" t="s">
        <v>130</v>
      </c>
      <c r="G49" t="s">
        <v>149</v>
      </c>
    </row>
    <row r="50" spans="1:7" x14ac:dyDescent="0.35">
      <c r="A50" s="4" t="s">
        <v>74</v>
      </c>
      <c r="B50" s="4" t="s">
        <v>8</v>
      </c>
      <c r="C50" s="4" t="s">
        <v>9</v>
      </c>
      <c r="E50" t="s">
        <v>56</v>
      </c>
      <c r="F50" s="4" t="s">
        <v>130</v>
      </c>
      <c r="G50" t="s">
        <v>150</v>
      </c>
    </row>
    <row r="51" spans="1:7" x14ac:dyDescent="0.35">
      <c r="A51" s="6" t="s">
        <v>75</v>
      </c>
      <c r="B51" s="4"/>
      <c r="C51" s="4"/>
    </row>
    <row r="52" spans="1:7" x14ac:dyDescent="0.35">
      <c r="A52" s="4" t="s">
        <v>76</v>
      </c>
      <c r="B52" s="4" t="s">
        <v>8</v>
      </c>
      <c r="C52" s="4" t="s">
        <v>9</v>
      </c>
      <c r="E52" t="s">
        <v>56</v>
      </c>
      <c r="F52" s="4" t="s">
        <v>131</v>
      </c>
      <c r="G52" t="s">
        <v>151</v>
      </c>
    </row>
    <row r="53" spans="1:7" x14ac:dyDescent="0.35">
      <c r="A53" s="4" t="s">
        <v>77</v>
      </c>
      <c r="B53" s="4" t="s">
        <v>8</v>
      </c>
      <c r="C53" s="4" t="s">
        <v>9</v>
      </c>
      <c r="E53" t="s">
        <v>56</v>
      </c>
      <c r="F53" s="4" t="s">
        <v>131</v>
      </c>
      <c r="G53" t="s">
        <v>152</v>
      </c>
    </row>
    <row r="54" spans="1:7" x14ac:dyDescent="0.35">
      <c r="A54" s="6" t="s">
        <v>78</v>
      </c>
      <c r="B54" s="4"/>
      <c r="C54" s="4"/>
    </row>
    <row r="55" spans="1:7" x14ac:dyDescent="0.35">
      <c r="A55" s="4" t="s">
        <v>79</v>
      </c>
      <c r="B55" s="4" t="s">
        <v>8</v>
      </c>
      <c r="C55" s="4" t="s">
        <v>9</v>
      </c>
      <c r="E55" t="s">
        <v>56</v>
      </c>
      <c r="F55" s="4" t="s">
        <v>46</v>
      </c>
      <c r="G55" t="s">
        <v>153</v>
      </c>
    </row>
    <row r="56" spans="1:7" x14ac:dyDescent="0.35">
      <c r="A56" s="4" t="s">
        <v>80</v>
      </c>
      <c r="B56" s="4" t="s">
        <v>8</v>
      </c>
      <c r="C56" s="4" t="s">
        <v>9</v>
      </c>
      <c r="E56" t="s">
        <v>56</v>
      </c>
      <c r="F56" s="4" t="s">
        <v>46</v>
      </c>
      <c r="G56" t="s">
        <v>154</v>
      </c>
    </row>
    <row r="57" spans="1:7" x14ac:dyDescent="0.35">
      <c r="A57" s="6" t="s">
        <v>81</v>
      </c>
      <c r="B57" s="4"/>
      <c r="C57" s="4"/>
    </row>
    <row r="58" spans="1:7" x14ac:dyDescent="0.35">
      <c r="A58" s="4" t="s">
        <v>82</v>
      </c>
      <c r="B58" s="4" t="s">
        <v>8</v>
      </c>
      <c r="C58" s="4" t="s">
        <v>9</v>
      </c>
      <c r="E58" t="s">
        <v>56</v>
      </c>
      <c r="F58" s="4" t="s">
        <v>132</v>
      </c>
      <c r="G58" t="s">
        <v>155</v>
      </c>
    </row>
    <row r="59" spans="1:7" x14ac:dyDescent="0.35">
      <c r="A59" s="4" t="s">
        <v>83</v>
      </c>
      <c r="B59" s="4" t="s">
        <v>8</v>
      </c>
      <c r="C59" s="4" t="s">
        <v>9</v>
      </c>
      <c r="E59" t="s">
        <v>56</v>
      </c>
      <c r="F59" s="4" t="s">
        <v>132</v>
      </c>
      <c r="G59" t="s">
        <v>156</v>
      </c>
    </row>
    <row r="60" spans="1:7" x14ac:dyDescent="0.35">
      <c r="A60" s="4" t="s">
        <v>84</v>
      </c>
      <c r="B60" s="4" t="s">
        <v>8</v>
      </c>
      <c r="C60" s="4" t="s">
        <v>9</v>
      </c>
      <c r="E60" t="s">
        <v>56</v>
      </c>
      <c r="F60" s="4" t="s">
        <v>132</v>
      </c>
      <c r="G60" t="s">
        <v>157</v>
      </c>
    </row>
    <row r="61" spans="1:7" x14ac:dyDescent="0.35">
      <c r="A61" s="6" t="s">
        <v>85</v>
      </c>
      <c r="B61" s="4"/>
      <c r="C61" s="4"/>
    </row>
    <row r="62" spans="1:7" x14ac:dyDescent="0.35">
      <c r="A62" s="4" t="s">
        <v>86</v>
      </c>
      <c r="B62" s="4" t="s">
        <v>8</v>
      </c>
      <c r="C62" s="4" t="s">
        <v>9</v>
      </c>
      <c r="E62" t="s">
        <v>56</v>
      </c>
      <c r="F62" s="4" t="s">
        <v>133</v>
      </c>
      <c r="G62" t="s">
        <v>158</v>
      </c>
    </row>
    <row r="63" spans="1:7" x14ac:dyDescent="0.35">
      <c r="A63" s="4"/>
      <c r="B63" s="4"/>
      <c r="C63" s="4"/>
    </row>
    <row r="64" spans="1:7" x14ac:dyDescent="0.35">
      <c r="A64" s="7" t="s">
        <v>87</v>
      </c>
      <c r="B64" s="4" t="s">
        <v>8</v>
      </c>
      <c r="C64" s="4" t="s">
        <v>9</v>
      </c>
      <c r="E64" t="s">
        <v>88</v>
      </c>
    </row>
    <row r="65" spans="1:5" x14ac:dyDescent="0.35">
      <c r="A65" s="4" t="s">
        <v>89</v>
      </c>
      <c r="B65" s="4" t="s">
        <v>8</v>
      </c>
      <c r="C65" s="4" t="s">
        <v>9</v>
      </c>
      <c r="E65" t="s">
        <v>90</v>
      </c>
    </row>
    <row r="66" spans="1:5" x14ac:dyDescent="0.35">
      <c r="A66" s="4" t="s">
        <v>91</v>
      </c>
      <c r="B66" s="4" t="s">
        <v>8</v>
      </c>
      <c r="C66" s="4" t="s">
        <v>9</v>
      </c>
      <c r="E66" t="s">
        <v>90</v>
      </c>
    </row>
    <row r="67" spans="1:5" x14ac:dyDescent="0.35">
      <c r="A67" s="4" t="s">
        <v>92</v>
      </c>
      <c r="B67" s="4" t="s">
        <v>8</v>
      </c>
      <c r="C67" s="4" t="s">
        <v>9</v>
      </c>
      <c r="E67" t="s">
        <v>90</v>
      </c>
    </row>
    <row r="68" spans="1:5" x14ac:dyDescent="0.35">
      <c r="A68" s="4" t="s">
        <v>93</v>
      </c>
      <c r="B68" s="4" t="s">
        <v>8</v>
      </c>
      <c r="C68" s="4" t="s">
        <v>9</v>
      </c>
      <c r="E68" t="s">
        <v>90</v>
      </c>
    </row>
    <row r="69" spans="1:5" x14ac:dyDescent="0.35">
      <c r="A69" s="4" t="s">
        <v>94</v>
      </c>
      <c r="B69" s="4" t="s">
        <v>8</v>
      </c>
      <c r="C69" s="4" t="s">
        <v>9</v>
      </c>
      <c r="E69" t="s">
        <v>90</v>
      </c>
    </row>
    <row r="70" spans="1:5" x14ac:dyDescent="0.35">
      <c r="A70" s="4" t="s">
        <v>95</v>
      </c>
      <c r="B70" s="4" t="s">
        <v>8</v>
      </c>
      <c r="C70" s="4" t="s">
        <v>9</v>
      </c>
      <c r="E70" t="s">
        <v>90</v>
      </c>
    </row>
    <row r="71" spans="1:5" x14ac:dyDescent="0.35">
      <c r="A71" s="4" t="s">
        <v>96</v>
      </c>
      <c r="B71" s="4" t="s">
        <v>8</v>
      </c>
      <c r="C71" s="4" t="s">
        <v>9</v>
      </c>
      <c r="E71" t="s">
        <v>90</v>
      </c>
    </row>
    <row r="72" spans="1:5" x14ac:dyDescent="0.35">
      <c r="A72" s="4" t="s">
        <v>97</v>
      </c>
      <c r="B72" s="4" t="s">
        <v>8</v>
      </c>
      <c r="C72" s="4" t="s">
        <v>9</v>
      </c>
      <c r="E72" t="s">
        <v>90</v>
      </c>
    </row>
    <row r="73" spans="1:5" x14ac:dyDescent="0.35">
      <c r="A73" s="4" t="s">
        <v>98</v>
      </c>
      <c r="B73" s="4" t="s">
        <v>8</v>
      </c>
      <c r="C73" s="4" t="s">
        <v>9</v>
      </c>
      <c r="E73" t="s">
        <v>90</v>
      </c>
    </row>
    <row r="74" spans="1:5" x14ac:dyDescent="0.35">
      <c r="A74" s="4" t="s">
        <v>99</v>
      </c>
      <c r="B74" s="4" t="s">
        <v>8</v>
      </c>
      <c r="C74" s="4" t="s">
        <v>9</v>
      </c>
      <c r="E74" t="s">
        <v>90</v>
      </c>
    </row>
    <row r="75" spans="1:5" x14ac:dyDescent="0.35">
      <c r="A75" s="4" t="s">
        <v>100</v>
      </c>
      <c r="B75" s="4" t="s">
        <v>8</v>
      </c>
      <c r="C75" s="4" t="s">
        <v>9</v>
      </c>
      <c r="E75" t="s">
        <v>90</v>
      </c>
    </row>
    <row r="76" spans="1:5" x14ac:dyDescent="0.35">
      <c r="A76" s="4" t="s">
        <v>101</v>
      </c>
      <c r="B76" s="4" t="s">
        <v>8</v>
      </c>
      <c r="C76" s="4" t="s">
        <v>9</v>
      </c>
      <c r="D76" t="s">
        <v>102</v>
      </c>
      <c r="E76" t="s">
        <v>90</v>
      </c>
    </row>
    <row r="77" spans="1:5" x14ac:dyDescent="0.35">
      <c r="A77" s="4" t="s">
        <v>103</v>
      </c>
      <c r="B77" s="4" t="s">
        <v>30</v>
      </c>
      <c r="C77" s="4" t="s">
        <v>9</v>
      </c>
      <c r="E77" t="s">
        <v>90</v>
      </c>
    </row>
    <row r="78" spans="1:5" x14ac:dyDescent="0.35">
      <c r="A78" s="4"/>
      <c r="B78" s="4"/>
      <c r="C78" s="4"/>
    </row>
    <row r="79" spans="1:5" x14ac:dyDescent="0.35">
      <c r="A79" s="5" t="s">
        <v>104</v>
      </c>
      <c r="B79" s="4" t="s">
        <v>8</v>
      </c>
      <c r="C79" s="4" t="s">
        <v>9</v>
      </c>
      <c r="E79" t="s">
        <v>105</v>
      </c>
    </row>
    <row r="80" spans="1:5" x14ac:dyDescent="0.35">
      <c r="A80" s="4" t="s">
        <v>106</v>
      </c>
      <c r="B80" s="4" t="s">
        <v>8</v>
      </c>
      <c r="C80" s="4" t="s">
        <v>9</v>
      </c>
      <c r="E80" t="s">
        <v>105</v>
      </c>
    </row>
    <row r="81" spans="1:6" x14ac:dyDescent="0.35">
      <c r="A81" s="4" t="s">
        <v>107</v>
      </c>
      <c r="B81" s="4" t="s">
        <v>8</v>
      </c>
      <c r="C81" s="4" t="s">
        <v>9</v>
      </c>
      <c r="E81" t="s">
        <v>105</v>
      </c>
      <c r="F81" t="s">
        <v>108</v>
      </c>
    </row>
    <row r="82" spans="1:6" x14ac:dyDescent="0.35">
      <c r="A82" s="4" t="s">
        <v>109</v>
      </c>
      <c r="B82" s="4" t="s">
        <v>30</v>
      </c>
      <c r="C82" s="4" t="s">
        <v>9</v>
      </c>
      <c r="E82" t="s">
        <v>105</v>
      </c>
    </row>
    <row r="83" spans="1:6" x14ac:dyDescent="0.35">
      <c r="A83" s="4" t="s">
        <v>110</v>
      </c>
      <c r="B83" s="4" t="s">
        <v>8</v>
      </c>
      <c r="C83" s="4" t="s">
        <v>9</v>
      </c>
      <c r="E83" t="s">
        <v>105</v>
      </c>
    </row>
    <row r="84" spans="1:6" x14ac:dyDescent="0.35">
      <c r="A84" s="4" t="s">
        <v>111</v>
      </c>
      <c r="B84" s="4" t="s">
        <v>8</v>
      </c>
      <c r="C84" s="4" t="s">
        <v>9</v>
      </c>
      <c r="E84" t="s">
        <v>105</v>
      </c>
      <c r="F84" s="4" t="s">
        <v>134</v>
      </c>
    </row>
    <row r="85" spans="1:6" x14ac:dyDescent="0.35">
      <c r="A85" s="4" t="s">
        <v>112</v>
      </c>
      <c r="B85" s="4" t="s">
        <v>30</v>
      </c>
      <c r="C85" s="4" t="s">
        <v>9</v>
      </c>
      <c r="E85" t="s">
        <v>105</v>
      </c>
      <c r="F85" s="4" t="s">
        <v>135</v>
      </c>
    </row>
    <row r="86" spans="1:6" x14ac:dyDescent="0.35">
      <c r="A86" s="4"/>
      <c r="B86" s="4"/>
      <c r="C86" s="4"/>
    </row>
    <row r="87" spans="1:6" x14ac:dyDescent="0.35">
      <c r="A87" s="8" t="s">
        <v>113</v>
      </c>
      <c r="B87" s="4" t="s">
        <v>8</v>
      </c>
      <c r="C87" s="4" t="s">
        <v>9</v>
      </c>
      <c r="E87" t="s">
        <v>114</v>
      </c>
    </row>
    <row r="88" spans="1:6" x14ac:dyDescent="0.35">
      <c r="A88" s="4" t="s">
        <v>115</v>
      </c>
      <c r="B88" s="4" t="s">
        <v>8</v>
      </c>
      <c r="C88" s="4" t="s">
        <v>9</v>
      </c>
      <c r="E88" t="s">
        <v>116</v>
      </c>
    </row>
    <row r="89" spans="1:6" x14ac:dyDescent="0.35">
      <c r="A89" s="4" t="s">
        <v>117</v>
      </c>
      <c r="B89" s="4" t="s">
        <v>8</v>
      </c>
      <c r="C89" s="4" t="s">
        <v>9</v>
      </c>
      <c r="E89" t="s">
        <v>116</v>
      </c>
    </row>
    <row r="90" spans="1:6" x14ac:dyDescent="0.35">
      <c r="A90" s="4" t="s">
        <v>118</v>
      </c>
      <c r="B90" s="4" t="s">
        <v>8</v>
      </c>
      <c r="C90" s="4" t="s">
        <v>9</v>
      </c>
      <c r="E90" t="s">
        <v>116</v>
      </c>
    </row>
    <row r="91" spans="1:6" x14ac:dyDescent="0.35">
      <c r="A91" s="4" t="s">
        <v>119</v>
      </c>
      <c r="B91" s="4" t="s">
        <v>30</v>
      </c>
      <c r="C91" s="4" t="s">
        <v>9</v>
      </c>
      <c r="E91" t="s">
        <v>116</v>
      </c>
    </row>
    <row r="92" spans="1:6" x14ac:dyDescent="0.35">
      <c r="A92" s="4"/>
      <c r="B92" s="4"/>
      <c r="C92" s="4"/>
    </row>
    <row r="93" spans="1:6" x14ac:dyDescent="0.35">
      <c r="A93" s="9" t="s">
        <v>120</v>
      </c>
      <c r="B93" s="4" t="s">
        <v>30</v>
      </c>
      <c r="C93" s="4" t="s">
        <v>9</v>
      </c>
      <c r="E93" t="s">
        <v>121</v>
      </c>
    </row>
    <row r="94" spans="1:6" x14ac:dyDescent="0.35">
      <c r="A94" s="4" t="s">
        <v>122</v>
      </c>
      <c r="B94" s="4" t="s">
        <v>30</v>
      </c>
      <c r="C94" s="4" t="s">
        <v>9</v>
      </c>
      <c r="E94" t="s">
        <v>123</v>
      </c>
    </row>
    <row r="95" spans="1:6" x14ac:dyDescent="0.35">
      <c r="A95" s="4" t="s">
        <v>124</v>
      </c>
      <c r="B95" s="4" t="s">
        <v>30</v>
      </c>
      <c r="C95" s="4" t="s">
        <v>9</v>
      </c>
      <c r="E95" t="s">
        <v>123</v>
      </c>
    </row>
    <row r="96" spans="1:6" x14ac:dyDescent="0.35">
      <c r="A96" s="4" t="s">
        <v>125</v>
      </c>
      <c r="B96" s="4" t="s">
        <v>30</v>
      </c>
      <c r="C96" s="4" t="s">
        <v>9</v>
      </c>
      <c r="E96" t="s">
        <v>123</v>
      </c>
    </row>
    <row r="97" spans="1:5" x14ac:dyDescent="0.35">
      <c r="A97" s="4" t="s">
        <v>126</v>
      </c>
      <c r="B97" s="4" t="s">
        <v>30</v>
      </c>
      <c r="C97" s="4" t="s">
        <v>9</v>
      </c>
      <c r="E97" t="s">
        <v>123</v>
      </c>
    </row>
  </sheetData>
  <dataValidations count="3">
    <dataValidation type="list" allowBlank="1" showInputMessage="1" showErrorMessage="1" errorTitle="Invalid Entry" error="The value you entered is not valid." promptTitle="Priority" prompt="Select task priority" sqref="B2:B97" xr:uid="{A8F58F45-0894-418E-B236-83DCEC7BE005}">
      <formula1>"High,Medium,Low"</formula1>
    </dataValidation>
    <dataValidation type="list" allowBlank="1" showInputMessage="1" showErrorMessage="1" errorTitle="Invalid Entry" error="The value you entered is not valid." promptTitle="Status" prompt="Update task status" sqref="C2:C97" xr:uid="{EE3AD87E-A592-49BA-B56F-6AB46947B7DE}">
      <formula1>"To Do,In Progress,Done"</formula1>
    </dataValidation>
    <dataValidation type="list" allowBlank="1" showInputMessage="1" showErrorMessage="1" errorTitle="Invalid Entry" error="The value you entered is not valid." promptTitle="Category" prompt="Select task category" sqref="E2:E97" xr:uid="{46738DB8-2BAC-4ED9-ACED-F5AA03CE45D0}">
      <formula1>"Business Dev,Platform Dev,Platform,Partnerships,Contact,Documentation,Outreach,Education,School,General,Commercial,Marketing,Campaign"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A997-D10D-4786-887C-7D4FFD16FF6B}">
  <dimension ref="B2:G49"/>
  <sheetViews>
    <sheetView topLeftCell="B2" workbookViewId="0">
      <pane ySplit="1" topLeftCell="A42" activePane="bottomLeft" state="frozen"/>
      <selection activeCell="B2" sqref="B2"/>
      <selection pane="bottomLeft" activeCell="B12" sqref="B12"/>
    </sheetView>
  </sheetViews>
  <sheetFormatPr defaultRowHeight="14.5" x14ac:dyDescent="0.35"/>
  <cols>
    <col min="1" max="1" width="3.36328125" customWidth="1"/>
    <col min="2" max="2" width="61.90625" customWidth="1"/>
    <col min="3" max="3" width="20.26953125" customWidth="1"/>
    <col min="4" max="4" width="13.54296875" customWidth="1"/>
    <col min="5" max="5" width="20.26953125" customWidth="1"/>
    <col min="6" max="6" width="33.7265625" customWidth="1"/>
    <col min="7" max="7" width="22.54296875" customWidth="1"/>
  </cols>
  <sheetData>
    <row r="2" spans="2:7" ht="36" customHeight="1" x14ac:dyDescent="0.55000000000000004">
      <c r="B2" s="24" t="s">
        <v>159</v>
      </c>
    </row>
    <row r="3" spans="2:7" ht="18" customHeight="1" x14ac:dyDescent="0.35">
      <c r="B3" s="25" t="s">
        <v>246</v>
      </c>
    </row>
    <row r="4" spans="2:7" ht="8" customHeight="1" x14ac:dyDescent="0.35"/>
    <row r="5" spans="2:7" ht="28" customHeight="1" x14ac:dyDescent="0.4">
      <c r="B5" s="26" t="s">
        <v>160</v>
      </c>
      <c r="C5" s="1"/>
      <c r="D5" s="1"/>
      <c r="E5" s="1"/>
      <c r="F5" s="1"/>
      <c r="G5" s="1"/>
    </row>
    <row r="6" spans="2:7" ht="20" customHeight="1" x14ac:dyDescent="0.35">
      <c r="B6" s="27" t="s">
        <v>161</v>
      </c>
      <c r="C6" s="27" t="s">
        <v>162</v>
      </c>
      <c r="D6" s="27" t="s">
        <v>163</v>
      </c>
      <c r="E6" s="27" t="s">
        <v>164</v>
      </c>
      <c r="F6" s="27" t="s">
        <v>165</v>
      </c>
      <c r="G6" s="27" t="s">
        <v>166</v>
      </c>
    </row>
    <row r="7" spans="2:7" ht="42" customHeight="1" x14ac:dyDescent="0.35">
      <c r="B7" s="28">
        <v>9</v>
      </c>
      <c r="C7" s="28">
        <v>28</v>
      </c>
      <c r="D7" s="29" t="s">
        <v>167</v>
      </c>
      <c r="E7" s="30" t="s">
        <v>168</v>
      </c>
      <c r="F7" s="30" t="s">
        <v>169</v>
      </c>
      <c r="G7" s="31" t="s">
        <v>170</v>
      </c>
    </row>
    <row r="8" spans="2:7" ht="10" customHeight="1" x14ac:dyDescent="0.35"/>
    <row r="9" spans="2:7" ht="28" customHeight="1" x14ac:dyDescent="0.4">
      <c r="B9" s="26" t="s">
        <v>171</v>
      </c>
      <c r="C9" s="1"/>
      <c r="D9" s="1"/>
      <c r="E9" s="1"/>
      <c r="F9" s="1"/>
      <c r="G9" s="1"/>
    </row>
    <row r="10" spans="2:7" ht="20" customHeight="1" x14ac:dyDescent="0.35">
      <c r="B10" s="32" t="s">
        <v>172</v>
      </c>
      <c r="C10" s="32" t="s">
        <v>173</v>
      </c>
      <c r="D10" s="32" t="s">
        <v>174</v>
      </c>
      <c r="E10" s="32" t="s">
        <v>175</v>
      </c>
      <c r="F10" s="32" t="s">
        <v>176</v>
      </c>
      <c r="G10" s="32" t="s">
        <v>177</v>
      </c>
    </row>
    <row r="11" spans="2:7" ht="42" customHeight="1" x14ac:dyDescent="0.35">
      <c r="B11" s="33" t="s">
        <v>178</v>
      </c>
      <c r="C11" s="34">
        <v>28</v>
      </c>
      <c r="D11" s="35">
        <v>28</v>
      </c>
      <c r="E11" s="36">
        <v>1</v>
      </c>
      <c r="F11" s="37">
        <v>0</v>
      </c>
      <c r="G11" s="37">
        <v>0</v>
      </c>
    </row>
    <row r="12" spans="2:7" ht="22" customHeight="1" x14ac:dyDescent="0.35">
      <c r="B12" s="38" t="s">
        <v>179</v>
      </c>
    </row>
    <row r="13" spans="2:7" ht="10" customHeight="1" x14ac:dyDescent="0.35"/>
    <row r="14" spans="2:7" ht="28" customHeight="1" x14ac:dyDescent="0.4">
      <c r="B14" s="26" t="s">
        <v>180</v>
      </c>
      <c r="C14" s="1"/>
      <c r="D14" s="1"/>
      <c r="E14" s="1"/>
      <c r="F14" s="1"/>
      <c r="G14" s="1"/>
    </row>
    <row r="15" spans="2:7" ht="22" customHeight="1" x14ac:dyDescent="0.35">
      <c r="B15" s="39" t="s">
        <v>181</v>
      </c>
      <c r="C15" s="10"/>
      <c r="D15" s="10"/>
      <c r="E15" s="10"/>
      <c r="F15" s="10"/>
      <c r="G15" s="10"/>
    </row>
    <row r="16" spans="2:7" ht="10.5" customHeight="1" x14ac:dyDescent="0.35">
      <c r="B16" s="11" t="s">
        <v>182</v>
      </c>
      <c r="C16" s="10"/>
      <c r="D16" s="10"/>
      <c r="E16" s="10"/>
      <c r="F16" s="10"/>
      <c r="G16" s="10"/>
    </row>
    <row r="17" spans="2:7" ht="28.5" customHeight="1" x14ac:dyDescent="0.35">
      <c r="B17" s="11" t="s">
        <v>183</v>
      </c>
      <c r="C17" s="10"/>
      <c r="D17" s="10"/>
      <c r="E17" s="10"/>
      <c r="F17" s="10"/>
      <c r="G17" s="10"/>
    </row>
    <row r="18" spans="2:7" ht="29" customHeight="1" x14ac:dyDescent="0.35">
      <c r="B18" s="11" t="s">
        <v>184</v>
      </c>
      <c r="C18" s="10"/>
      <c r="D18" s="10"/>
      <c r="E18" s="10"/>
      <c r="F18" s="10"/>
      <c r="G18" s="10"/>
    </row>
    <row r="19" spans="2:7" ht="19.5" customHeight="1" x14ac:dyDescent="0.35">
      <c r="B19" s="10"/>
      <c r="C19" s="10"/>
      <c r="D19" s="10"/>
      <c r="E19" s="10"/>
      <c r="F19" s="10"/>
      <c r="G19" s="10"/>
    </row>
    <row r="20" spans="2:7" ht="22" customHeight="1" x14ac:dyDescent="0.35">
      <c r="B20" s="40" t="s">
        <v>185</v>
      </c>
      <c r="C20" s="10"/>
      <c r="D20" s="10"/>
      <c r="E20" s="10"/>
      <c r="F20" s="10"/>
      <c r="G20" s="10"/>
    </row>
    <row r="21" spans="2:7" ht="28.5" customHeight="1" x14ac:dyDescent="0.35">
      <c r="B21" s="12" t="s">
        <v>186</v>
      </c>
      <c r="C21" s="10"/>
      <c r="D21" s="10"/>
      <c r="E21" s="10"/>
      <c r="F21" s="10"/>
      <c r="G21" s="10"/>
    </row>
    <row r="22" spans="2:7" ht="26.5" customHeight="1" x14ac:dyDescent="0.35">
      <c r="B22" s="12" t="s">
        <v>187</v>
      </c>
      <c r="C22" s="10"/>
      <c r="D22" s="10"/>
      <c r="E22" s="10"/>
      <c r="F22" s="10"/>
      <c r="G22" s="10"/>
    </row>
    <row r="23" spans="2:7" ht="22" customHeight="1" x14ac:dyDescent="0.35">
      <c r="B23" s="10"/>
      <c r="C23" s="10"/>
      <c r="D23" s="10"/>
      <c r="E23" s="10"/>
      <c r="F23" s="10"/>
      <c r="G23" s="10"/>
    </row>
    <row r="24" spans="2:7" ht="28" customHeight="1" x14ac:dyDescent="0.4">
      <c r="B24" s="41" t="s">
        <v>188</v>
      </c>
      <c r="C24" s="42"/>
      <c r="D24" s="42"/>
      <c r="E24" s="42"/>
      <c r="F24" s="42"/>
      <c r="G24" s="42"/>
    </row>
    <row r="25" spans="2:7" ht="20" customHeight="1" x14ac:dyDescent="0.35">
      <c r="B25" s="43" t="s">
        <v>189</v>
      </c>
      <c r="C25" s="43" t="s">
        <v>190</v>
      </c>
      <c r="D25" s="43" t="s">
        <v>191</v>
      </c>
      <c r="E25" s="43" t="s">
        <v>192</v>
      </c>
      <c r="F25" s="44"/>
      <c r="G25" s="44"/>
    </row>
    <row r="26" spans="2:7" ht="22" customHeight="1" x14ac:dyDescent="0.35">
      <c r="B26" s="45" t="s">
        <v>193</v>
      </c>
      <c r="C26" s="46" t="s">
        <v>194</v>
      </c>
      <c r="D26" s="47" t="s">
        <v>167</v>
      </c>
      <c r="E26" s="48" t="s">
        <v>195</v>
      </c>
      <c r="F26" s="49"/>
      <c r="G26" s="49"/>
    </row>
    <row r="27" spans="2:7" ht="22" customHeight="1" x14ac:dyDescent="0.35">
      <c r="B27" s="45" t="s">
        <v>164</v>
      </c>
      <c r="C27" s="50" t="s">
        <v>196</v>
      </c>
      <c r="D27" s="47" t="s">
        <v>34</v>
      </c>
      <c r="E27" s="48" t="s">
        <v>197</v>
      </c>
      <c r="F27" s="49"/>
      <c r="G27" s="49"/>
    </row>
    <row r="28" spans="2:7" ht="22" customHeight="1" x14ac:dyDescent="0.35">
      <c r="B28" s="45" t="s">
        <v>165</v>
      </c>
      <c r="C28" s="50" t="s">
        <v>198</v>
      </c>
      <c r="D28" s="51">
        <v>46081</v>
      </c>
      <c r="E28" s="48" t="s">
        <v>199</v>
      </c>
      <c r="F28" s="49"/>
      <c r="G28" s="49"/>
    </row>
    <row r="29" spans="2:7" ht="22" customHeight="1" x14ac:dyDescent="0.35">
      <c r="B29" s="52" t="s">
        <v>166</v>
      </c>
      <c r="C29" s="17" t="s">
        <v>200</v>
      </c>
      <c r="D29" s="15" t="s">
        <v>201</v>
      </c>
      <c r="E29" s="18" t="s">
        <v>202</v>
      </c>
      <c r="F29" s="10"/>
      <c r="G29" s="10"/>
    </row>
    <row r="30" spans="2:7" ht="10" customHeight="1" x14ac:dyDescent="0.35">
      <c r="B30" s="10"/>
      <c r="C30" s="10"/>
      <c r="D30" s="10"/>
      <c r="E30" s="10"/>
      <c r="F30" s="10"/>
      <c r="G30" s="10"/>
    </row>
    <row r="31" spans="2:7" ht="28" customHeight="1" x14ac:dyDescent="0.4">
      <c r="B31" s="41" t="s">
        <v>203</v>
      </c>
      <c r="C31" s="42"/>
      <c r="D31" s="42"/>
      <c r="E31" s="42"/>
      <c r="F31" s="42"/>
      <c r="G31" s="42"/>
    </row>
    <row r="32" spans="2:7" ht="22" customHeight="1" x14ac:dyDescent="0.35">
      <c r="B32" s="53" t="s">
        <v>204</v>
      </c>
      <c r="C32" s="54"/>
      <c r="D32" s="54"/>
      <c r="E32" s="53" t="s">
        <v>205</v>
      </c>
      <c r="F32" s="54"/>
      <c r="G32" s="54"/>
    </row>
    <row r="33" spans="2:7" ht="22" customHeight="1" x14ac:dyDescent="0.35">
      <c r="B33" s="55" t="s">
        <v>206</v>
      </c>
      <c r="C33" s="10"/>
      <c r="D33" s="10"/>
      <c r="E33" s="56" t="s">
        <v>207</v>
      </c>
      <c r="F33" s="10"/>
      <c r="G33" s="10"/>
    </row>
    <row r="34" spans="2:7" ht="22" customHeight="1" x14ac:dyDescent="0.35">
      <c r="B34" s="55" t="s">
        <v>208</v>
      </c>
      <c r="C34" s="10"/>
      <c r="D34" s="10"/>
      <c r="E34" s="56" t="s">
        <v>209</v>
      </c>
      <c r="F34" s="10"/>
      <c r="G34" s="10"/>
    </row>
    <row r="35" spans="2:7" ht="22" customHeight="1" x14ac:dyDescent="0.35">
      <c r="B35" s="55" t="s">
        <v>210</v>
      </c>
      <c r="C35" s="10"/>
      <c r="D35" s="10"/>
      <c r="E35" s="56" t="s">
        <v>211</v>
      </c>
      <c r="F35" s="10"/>
      <c r="G35" s="10"/>
    </row>
    <row r="36" spans="2:7" ht="31" customHeight="1" x14ac:dyDescent="0.35">
      <c r="B36" s="55" t="s">
        <v>212</v>
      </c>
      <c r="C36" s="10"/>
      <c r="D36" s="10"/>
      <c r="E36" s="56" t="s">
        <v>213</v>
      </c>
      <c r="F36" s="10"/>
      <c r="G36" s="10"/>
    </row>
    <row r="37" spans="2:7" ht="30" customHeight="1" x14ac:dyDescent="0.35">
      <c r="B37" s="55" t="s">
        <v>214</v>
      </c>
      <c r="C37" s="10"/>
      <c r="D37" s="10"/>
      <c r="E37" s="56" t="s">
        <v>215</v>
      </c>
      <c r="F37" s="10"/>
      <c r="G37" s="10"/>
    </row>
    <row r="38" spans="2:7" ht="15.5" customHeight="1" x14ac:dyDescent="0.35">
      <c r="B38" s="10"/>
      <c r="C38" s="10"/>
      <c r="D38" s="10"/>
      <c r="E38" s="10"/>
      <c r="F38" s="10"/>
      <c r="G38" s="10"/>
    </row>
    <row r="39" spans="2:7" ht="28" customHeight="1" x14ac:dyDescent="0.4">
      <c r="B39" s="41" t="s">
        <v>216</v>
      </c>
      <c r="C39" s="42"/>
      <c r="D39" s="42"/>
      <c r="E39" s="42"/>
      <c r="F39" s="42"/>
      <c r="G39" s="42"/>
    </row>
    <row r="40" spans="2:7" ht="20" customHeight="1" x14ac:dyDescent="0.35">
      <c r="B40" s="43" t="s">
        <v>217</v>
      </c>
      <c r="C40" s="43" t="s">
        <v>218</v>
      </c>
      <c r="D40" s="43" t="s">
        <v>219</v>
      </c>
      <c r="E40" s="43" t="s">
        <v>220</v>
      </c>
      <c r="F40" s="43" t="s">
        <v>221</v>
      </c>
      <c r="G40" s="44"/>
    </row>
    <row r="41" spans="2:7" ht="33" customHeight="1" x14ac:dyDescent="0.35">
      <c r="B41" s="57" t="s">
        <v>222</v>
      </c>
      <c r="C41" s="13" t="s">
        <v>223</v>
      </c>
      <c r="D41" s="17" t="s">
        <v>224</v>
      </c>
      <c r="E41" s="15" t="s">
        <v>225</v>
      </c>
      <c r="F41" s="12" t="s">
        <v>226</v>
      </c>
      <c r="G41" s="10"/>
    </row>
    <row r="42" spans="2:7" ht="29.5" customHeight="1" x14ac:dyDescent="0.35">
      <c r="B42" s="57" t="s">
        <v>222</v>
      </c>
      <c r="C42" s="13" t="s">
        <v>227</v>
      </c>
      <c r="D42" s="17" t="s">
        <v>228</v>
      </c>
      <c r="E42" s="15" t="s">
        <v>225</v>
      </c>
      <c r="F42" s="12" t="s">
        <v>229</v>
      </c>
      <c r="G42" s="10"/>
    </row>
    <row r="43" spans="2:7" ht="37" customHeight="1" x14ac:dyDescent="0.35">
      <c r="B43" s="58" t="s">
        <v>230</v>
      </c>
      <c r="C43" s="15" t="s">
        <v>231</v>
      </c>
      <c r="D43" s="16" t="s">
        <v>228</v>
      </c>
      <c r="E43" s="15" t="s">
        <v>225</v>
      </c>
      <c r="F43" s="12" t="s">
        <v>232</v>
      </c>
      <c r="G43" s="10"/>
    </row>
    <row r="44" spans="2:7" ht="30.5" customHeight="1" x14ac:dyDescent="0.35">
      <c r="B44" s="58" t="s">
        <v>230</v>
      </c>
      <c r="C44" s="15" t="s">
        <v>233</v>
      </c>
      <c r="D44" s="16" t="s">
        <v>234</v>
      </c>
      <c r="E44" s="15" t="s">
        <v>225</v>
      </c>
      <c r="F44" s="12" t="s">
        <v>235</v>
      </c>
      <c r="G44" s="10"/>
    </row>
    <row r="45" spans="2:7" ht="30.5" customHeight="1" x14ac:dyDescent="0.35">
      <c r="B45" s="59" t="s">
        <v>236</v>
      </c>
      <c r="C45" s="15" t="s">
        <v>237</v>
      </c>
      <c r="D45" s="14" t="s">
        <v>238</v>
      </c>
      <c r="E45" s="15" t="s">
        <v>239</v>
      </c>
      <c r="F45" s="12" t="s">
        <v>240</v>
      </c>
      <c r="G45" s="10"/>
    </row>
    <row r="46" spans="2:7" ht="26" customHeight="1" x14ac:dyDescent="0.35">
      <c r="B46" s="59" t="s">
        <v>236</v>
      </c>
      <c r="C46" s="15" t="s">
        <v>241</v>
      </c>
      <c r="D46" s="14" t="s">
        <v>242</v>
      </c>
      <c r="E46" s="15" t="s">
        <v>225</v>
      </c>
      <c r="F46" s="12" t="s">
        <v>243</v>
      </c>
      <c r="G46" s="10"/>
    </row>
    <row r="47" spans="2:7" ht="1.5" customHeight="1" x14ac:dyDescent="0.35">
      <c r="B47" s="10"/>
      <c r="C47" s="10"/>
      <c r="D47" s="10"/>
      <c r="E47" s="10"/>
      <c r="F47" s="10"/>
      <c r="G47" s="10"/>
    </row>
    <row r="48" spans="2:7" ht="34.5" customHeight="1" x14ac:dyDescent="0.35">
      <c r="B48" s="19" t="s">
        <v>244</v>
      </c>
      <c r="C48" s="61"/>
      <c r="D48" s="61"/>
      <c r="E48" s="61"/>
      <c r="F48" s="61"/>
      <c r="G48" s="61"/>
    </row>
    <row r="49" spans="2:7" ht="28" customHeight="1" x14ac:dyDescent="0.4">
      <c r="B49" s="60" t="s">
        <v>245</v>
      </c>
      <c r="C49" s="10"/>
      <c r="D49" s="10"/>
      <c r="E49" s="10"/>
      <c r="F49" s="10"/>
      <c r="G49" s="10"/>
    </row>
  </sheetData>
  <conditionalFormatting sqref="B41:B42">
    <cfRule type="expression" dxfId="23" priority="1">
      <formula>$B41="🔴 P1"</formula>
    </cfRule>
  </conditionalFormatting>
  <conditionalFormatting sqref="B43:B44">
    <cfRule type="expression" dxfId="22" priority="2">
      <formula>$B43="🟠 P2"</formula>
    </cfRule>
  </conditionalFormatting>
  <conditionalFormatting sqref="B45:B46">
    <cfRule type="expression" dxfId="21" priority="3">
      <formula>$B45="🟡 P3"</formula>
    </cfRule>
  </conditionalFormatting>
  <conditionalFormatting sqref="C26">
    <cfRule type="expression" dxfId="20" priority="4">
      <formula>$C26="✅ Completed"</formula>
    </cfRule>
  </conditionalFormatting>
  <conditionalFormatting sqref="C27">
    <cfRule type="expression" dxfId="19" priority="5">
      <formula>$C27="⚠ Partial"</formula>
    </cfRule>
  </conditionalFormatting>
  <conditionalFormatting sqref="C28">
    <cfRule type="expression" dxfId="18" priority="6">
      <formula>$C28="⚠ Started"</formula>
    </cfRule>
  </conditionalFormatting>
  <conditionalFormatting sqref="C29">
    <cfRule type="expression" dxfId="17" priority="7">
      <formula>$C29="🔴 Not Started"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B3AF-1166-4416-ABEB-106C8CD1E620}">
  <dimension ref="A1:O28"/>
  <sheetViews>
    <sheetView workbookViewId="0">
      <pane ySplit="1" topLeftCell="A11" activePane="bottomLeft" state="frozen"/>
      <selection pane="bottomLeft" activeCell="I15" sqref="I15"/>
    </sheetView>
  </sheetViews>
  <sheetFormatPr defaultRowHeight="14.5" x14ac:dyDescent="0.35"/>
  <cols>
    <col min="1" max="1" width="24.7265625" customWidth="1"/>
    <col min="2" max="2" width="13.54296875" customWidth="1"/>
    <col min="3" max="3" width="9" customWidth="1"/>
    <col min="4" max="4" width="36" customWidth="1"/>
    <col min="5" max="5" width="16.90625" style="23" customWidth="1"/>
    <col min="6" max="6" width="6.7265625" customWidth="1"/>
    <col min="7" max="7" width="13.54296875" customWidth="1"/>
    <col min="8" max="8" width="18" customWidth="1"/>
    <col min="9" max="10" width="15.7265625" customWidth="1"/>
    <col min="11" max="11" width="24.7265625" customWidth="1"/>
    <col min="12" max="12" width="15.7265625" customWidth="1"/>
    <col min="13" max="13" width="12.36328125" customWidth="1"/>
    <col min="14" max="14" width="9" customWidth="1"/>
    <col min="15" max="15" width="20.26953125" customWidth="1"/>
  </cols>
  <sheetData>
    <row r="1" spans="1:15" x14ac:dyDescent="0.35">
      <c r="A1" s="2" t="s">
        <v>247</v>
      </c>
      <c r="B1" s="2" t="s">
        <v>248</v>
      </c>
      <c r="C1" s="2" t="s">
        <v>249</v>
      </c>
      <c r="D1" s="2" t="s">
        <v>193</v>
      </c>
      <c r="E1" s="21" t="s">
        <v>250</v>
      </c>
      <c r="F1" s="2" t="s">
        <v>251</v>
      </c>
      <c r="G1" s="2" t="s">
        <v>172</v>
      </c>
      <c r="H1" s="2" t="s">
        <v>252</v>
      </c>
      <c r="I1" s="2" t="s">
        <v>253</v>
      </c>
      <c r="J1" s="2" t="s">
        <v>254</v>
      </c>
      <c r="K1" s="2" t="s">
        <v>255</v>
      </c>
      <c r="L1" s="2" t="s">
        <v>256</v>
      </c>
      <c r="M1" s="2" t="s">
        <v>257</v>
      </c>
      <c r="N1" s="2" t="s">
        <v>220</v>
      </c>
      <c r="O1" s="2" t="s">
        <v>258</v>
      </c>
    </row>
    <row r="2" spans="1:15" x14ac:dyDescent="0.35">
      <c r="A2" s="4" t="s">
        <v>259</v>
      </c>
      <c r="B2" s="4" t="s">
        <v>19</v>
      </c>
      <c r="C2" s="4" t="s">
        <v>260</v>
      </c>
      <c r="D2" s="4" t="s">
        <v>260</v>
      </c>
      <c r="E2" s="22" t="s">
        <v>260</v>
      </c>
      <c r="F2" s="4" t="s">
        <v>261</v>
      </c>
      <c r="G2" s="4" t="s">
        <v>262</v>
      </c>
      <c r="H2" s="4" t="s">
        <v>260</v>
      </c>
      <c r="I2" s="4" t="s">
        <v>260</v>
      </c>
      <c r="J2" s="4" t="s">
        <v>260</v>
      </c>
      <c r="K2" s="4" t="s">
        <v>263</v>
      </c>
      <c r="L2" s="4" t="s">
        <v>264</v>
      </c>
      <c r="M2" s="20" t="e">
        <f t="shared" ref="M2:M28" ca="1" si="0">TODAY()-H2</f>
        <v>#VALUE!</v>
      </c>
      <c r="N2" s="4" t="s">
        <v>265</v>
      </c>
      <c r="O2" s="4" t="s">
        <v>266</v>
      </c>
    </row>
    <row r="3" spans="1:15" x14ac:dyDescent="0.35">
      <c r="A3" s="4" t="s">
        <v>267</v>
      </c>
      <c r="B3" s="4" t="s">
        <v>19</v>
      </c>
      <c r="C3" s="4" t="s">
        <v>260</v>
      </c>
      <c r="D3" s="4" t="s">
        <v>268</v>
      </c>
      <c r="E3" s="22" t="s">
        <v>260</v>
      </c>
      <c r="F3" s="4" t="s">
        <v>269</v>
      </c>
      <c r="G3" s="4" t="s">
        <v>174</v>
      </c>
      <c r="H3" s="20">
        <v>46145</v>
      </c>
      <c r="I3" s="4" t="s">
        <v>193</v>
      </c>
      <c r="J3" s="4" t="s">
        <v>344</v>
      </c>
      <c r="K3" s="4" t="s">
        <v>271</v>
      </c>
      <c r="L3" s="4" t="s">
        <v>264</v>
      </c>
      <c r="M3" s="20">
        <f t="shared" ca="1" si="0"/>
        <v>1</v>
      </c>
      <c r="N3" s="4" t="s">
        <v>265</v>
      </c>
      <c r="O3" s="4" t="s">
        <v>272</v>
      </c>
    </row>
    <row r="4" spans="1:15" x14ac:dyDescent="0.35">
      <c r="A4" s="4" t="s">
        <v>273</v>
      </c>
      <c r="B4" s="4" t="s">
        <v>19</v>
      </c>
      <c r="C4" s="4" t="s">
        <v>260</v>
      </c>
      <c r="D4" s="4" t="s">
        <v>274</v>
      </c>
      <c r="E4" s="22">
        <v>917024127741</v>
      </c>
      <c r="F4" s="4" t="s">
        <v>269</v>
      </c>
      <c r="G4" s="4" t="s">
        <v>175</v>
      </c>
      <c r="H4" s="20">
        <v>46146</v>
      </c>
      <c r="I4" s="4" t="s">
        <v>165</v>
      </c>
      <c r="J4" s="4" t="s">
        <v>275</v>
      </c>
      <c r="K4" s="4" t="s">
        <v>276</v>
      </c>
      <c r="L4" s="4" t="s">
        <v>264</v>
      </c>
      <c r="M4" s="20">
        <f t="shared" ca="1" si="0"/>
        <v>0</v>
      </c>
      <c r="N4" s="4" t="s">
        <v>265</v>
      </c>
      <c r="O4" s="4" t="s">
        <v>277</v>
      </c>
    </row>
    <row r="5" spans="1:15" x14ac:dyDescent="0.35">
      <c r="A5" s="4" t="s">
        <v>278</v>
      </c>
      <c r="B5" s="4" t="s">
        <v>19</v>
      </c>
      <c r="C5" s="4" t="s">
        <v>260</v>
      </c>
      <c r="D5" s="4" t="s">
        <v>279</v>
      </c>
      <c r="E5" s="22">
        <v>91999901587</v>
      </c>
      <c r="F5" s="4" t="s">
        <v>269</v>
      </c>
      <c r="G5" s="4" t="s">
        <v>174</v>
      </c>
      <c r="H5" s="20">
        <v>46145</v>
      </c>
      <c r="I5" s="4" t="s">
        <v>164</v>
      </c>
      <c r="J5" s="4" t="s">
        <v>270</v>
      </c>
      <c r="K5" s="4" t="s">
        <v>280</v>
      </c>
      <c r="L5" s="4" t="s">
        <v>281</v>
      </c>
      <c r="M5" s="20">
        <f t="shared" ca="1" si="0"/>
        <v>1</v>
      </c>
      <c r="N5" s="4" t="s">
        <v>265</v>
      </c>
      <c r="O5" s="4" t="s">
        <v>282</v>
      </c>
    </row>
    <row r="6" spans="1:15" x14ac:dyDescent="0.35">
      <c r="A6" s="4" t="s">
        <v>283</v>
      </c>
      <c r="B6" s="4" t="s">
        <v>19</v>
      </c>
      <c r="C6" s="4" t="s">
        <v>260</v>
      </c>
      <c r="D6" s="4" t="s">
        <v>260</v>
      </c>
      <c r="E6" s="22">
        <v>919953894326</v>
      </c>
      <c r="F6" s="4" t="s">
        <v>269</v>
      </c>
      <c r="G6" s="4" t="s">
        <v>174</v>
      </c>
      <c r="H6" s="20">
        <v>46145</v>
      </c>
      <c r="I6" s="4" t="s">
        <v>193</v>
      </c>
      <c r="J6" s="4" t="s">
        <v>270</v>
      </c>
      <c r="K6" s="4" t="s">
        <v>284</v>
      </c>
      <c r="L6" s="20">
        <v>46148</v>
      </c>
      <c r="M6" s="20">
        <f t="shared" ca="1" si="0"/>
        <v>1</v>
      </c>
      <c r="N6" s="4" t="s">
        <v>265</v>
      </c>
      <c r="O6" s="4" t="s">
        <v>285</v>
      </c>
    </row>
    <row r="7" spans="1:15" x14ac:dyDescent="0.35">
      <c r="A7" s="4" t="s">
        <v>286</v>
      </c>
      <c r="B7" s="4" t="s">
        <v>19</v>
      </c>
      <c r="C7" s="4" t="s">
        <v>260</v>
      </c>
      <c r="D7" s="4" t="s">
        <v>287</v>
      </c>
      <c r="E7" s="22">
        <v>971501257753</v>
      </c>
      <c r="F7" s="4" t="s">
        <v>269</v>
      </c>
      <c r="G7" s="4" t="s">
        <v>174</v>
      </c>
      <c r="H7" s="20">
        <v>46145</v>
      </c>
      <c r="I7" s="4" t="s">
        <v>193</v>
      </c>
      <c r="J7" s="4" t="s">
        <v>270</v>
      </c>
      <c r="K7" s="4" t="s">
        <v>280</v>
      </c>
      <c r="L7" s="20">
        <v>46148</v>
      </c>
      <c r="M7" s="20">
        <f t="shared" ca="1" si="0"/>
        <v>1</v>
      </c>
      <c r="N7" s="4" t="s">
        <v>265</v>
      </c>
      <c r="O7" s="4" t="s">
        <v>288</v>
      </c>
    </row>
    <row r="8" spans="1:15" x14ac:dyDescent="0.35">
      <c r="A8" s="4" t="s">
        <v>289</v>
      </c>
      <c r="B8" s="4" t="s">
        <v>19</v>
      </c>
      <c r="C8" s="4" t="s">
        <v>260</v>
      </c>
      <c r="D8" s="4" t="s">
        <v>290</v>
      </c>
      <c r="E8" s="22">
        <v>919987386811</v>
      </c>
      <c r="F8" s="4" t="s">
        <v>261</v>
      </c>
      <c r="G8" s="4" t="s">
        <v>174</v>
      </c>
      <c r="H8" s="20">
        <v>46145</v>
      </c>
      <c r="I8" s="4" t="s">
        <v>193</v>
      </c>
      <c r="J8" s="4" t="s">
        <v>344</v>
      </c>
      <c r="K8" s="4" t="s">
        <v>280</v>
      </c>
      <c r="L8" s="20">
        <v>46148</v>
      </c>
      <c r="M8" s="20">
        <f t="shared" ca="1" si="0"/>
        <v>1</v>
      </c>
      <c r="N8" s="4" t="s">
        <v>265</v>
      </c>
      <c r="O8" s="4" t="s">
        <v>291</v>
      </c>
    </row>
    <row r="9" spans="1:15" x14ac:dyDescent="0.35">
      <c r="A9" s="4" t="s">
        <v>292</v>
      </c>
      <c r="B9" s="4" t="s">
        <v>19</v>
      </c>
      <c r="C9" s="4" t="s">
        <v>260</v>
      </c>
      <c r="D9" s="4" t="s">
        <v>293</v>
      </c>
      <c r="E9" s="22">
        <v>919966446197</v>
      </c>
      <c r="F9" s="4" t="s">
        <v>261</v>
      </c>
      <c r="G9" s="4" t="s">
        <v>174</v>
      </c>
      <c r="H9" s="20">
        <v>46145</v>
      </c>
      <c r="I9" s="4" t="s">
        <v>193</v>
      </c>
      <c r="J9" s="4" t="s">
        <v>344</v>
      </c>
      <c r="K9" s="4" t="s">
        <v>280</v>
      </c>
      <c r="L9" s="20">
        <v>46148</v>
      </c>
      <c r="M9" s="20">
        <f t="shared" ca="1" si="0"/>
        <v>1</v>
      </c>
      <c r="N9" s="4" t="s">
        <v>265</v>
      </c>
      <c r="O9" s="4" t="s">
        <v>294</v>
      </c>
    </row>
    <row r="10" spans="1:15" x14ac:dyDescent="0.35">
      <c r="A10" s="4" t="s">
        <v>295</v>
      </c>
      <c r="B10" s="4" t="s">
        <v>19</v>
      </c>
      <c r="C10" s="4" t="s">
        <v>260</v>
      </c>
      <c r="D10" s="4" t="s">
        <v>296</v>
      </c>
      <c r="E10" s="22">
        <v>919686860102</v>
      </c>
      <c r="F10" s="4" t="s">
        <v>269</v>
      </c>
      <c r="G10" s="4" t="s">
        <v>174</v>
      </c>
      <c r="H10" s="20">
        <v>46145</v>
      </c>
      <c r="I10" s="4" t="s">
        <v>193</v>
      </c>
      <c r="J10" s="4" t="s">
        <v>344</v>
      </c>
      <c r="K10" s="4" t="s">
        <v>280</v>
      </c>
      <c r="L10" s="20">
        <v>46148</v>
      </c>
      <c r="M10" s="20">
        <f t="shared" ca="1" si="0"/>
        <v>1</v>
      </c>
      <c r="N10" s="4" t="s">
        <v>265</v>
      </c>
      <c r="O10" s="4" t="s">
        <v>297</v>
      </c>
    </row>
    <row r="11" spans="1:15" x14ac:dyDescent="0.35">
      <c r="A11" s="4" t="s">
        <v>298</v>
      </c>
      <c r="B11" s="4" t="s">
        <v>19</v>
      </c>
      <c r="C11" s="4" t="s">
        <v>260</v>
      </c>
      <c r="D11" s="4" t="s">
        <v>260</v>
      </c>
      <c r="E11" s="22" t="s">
        <v>260</v>
      </c>
      <c r="F11" s="4" t="s">
        <v>269</v>
      </c>
      <c r="G11" s="4" t="s">
        <v>174</v>
      </c>
      <c r="H11" s="20">
        <v>46145</v>
      </c>
      <c r="I11" s="4" t="s">
        <v>193</v>
      </c>
      <c r="J11" s="4" t="s">
        <v>270</v>
      </c>
      <c r="K11" s="4" t="s">
        <v>165</v>
      </c>
      <c r="L11" s="4" t="s">
        <v>264</v>
      </c>
      <c r="M11" s="20">
        <f t="shared" ca="1" si="0"/>
        <v>1</v>
      </c>
      <c r="N11" s="4" t="s">
        <v>265</v>
      </c>
      <c r="O11" s="4" t="s">
        <v>294</v>
      </c>
    </row>
    <row r="12" spans="1:15" x14ac:dyDescent="0.35">
      <c r="A12" s="4" t="s">
        <v>299</v>
      </c>
      <c r="B12" s="4" t="s">
        <v>19</v>
      </c>
      <c r="C12" s="4" t="s">
        <v>260</v>
      </c>
      <c r="D12" s="4" t="s">
        <v>300</v>
      </c>
      <c r="E12" s="22">
        <v>917208022049</v>
      </c>
      <c r="F12" s="4" t="s">
        <v>269</v>
      </c>
      <c r="G12" s="4" t="s">
        <v>174</v>
      </c>
      <c r="H12" s="4" t="s">
        <v>260</v>
      </c>
      <c r="I12" s="4" t="s">
        <v>260</v>
      </c>
      <c r="J12" s="4" t="s">
        <v>344</v>
      </c>
      <c r="K12" s="4" t="s">
        <v>301</v>
      </c>
      <c r="L12" s="4" t="s">
        <v>264</v>
      </c>
      <c r="M12" s="20" t="e">
        <f t="shared" ca="1" si="0"/>
        <v>#VALUE!</v>
      </c>
      <c r="N12" s="4" t="s">
        <v>265</v>
      </c>
      <c r="O12" s="4" t="s">
        <v>302</v>
      </c>
    </row>
    <row r="13" spans="1:15" x14ac:dyDescent="0.35">
      <c r="A13" s="4" t="s">
        <v>303</v>
      </c>
      <c r="B13" s="4" t="s">
        <v>19</v>
      </c>
      <c r="C13" s="4" t="s">
        <v>260</v>
      </c>
      <c r="D13" s="4" t="s">
        <v>260</v>
      </c>
      <c r="E13" s="22" t="s">
        <v>260</v>
      </c>
      <c r="F13" s="4" t="s">
        <v>304</v>
      </c>
      <c r="G13" s="4" t="s">
        <v>174</v>
      </c>
      <c r="H13" s="4" t="s">
        <v>260</v>
      </c>
      <c r="I13" s="4" t="s">
        <v>260</v>
      </c>
      <c r="J13" s="4" t="s">
        <v>260</v>
      </c>
      <c r="K13" s="4" t="s">
        <v>193</v>
      </c>
      <c r="L13" s="4" t="s">
        <v>264</v>
      </c>
      <c r="M13" s="20" t="e">
        <f t="shared" ca="1" si="0"/>
        <v>#VALUE!</v>
      </c>
      <c r="N13" s="4" t="s">
        <v>265</v>
      </c>
      <c r="O13" s="4" t="s">
        <v>294</v>
      </c>
    </row>
    <row r="14" spans="1:15" x14ac:dyDescent="0.35">
      <c r="A14" s="4" t="s">
        <v>305</v>
      </c>
      <c r="B14" s="4" t="s">
        <v>19</v>
      </c>
      <c r="C14" s="4" t="s">
        <v>260</v>
      </c>
      <c r="D14" s="4" t="s">
        <v>306</v>
      </c>
      <c r="E14" s="22" t="s">
        <v>260</v>
      </c>
      <c r="F14" s="4" t="s">
        <v>269</v>
      </c>
      <c r="G14" s="4" t="s">
        <v>174</v>
      </c>
      <c r="H14" s="20">
        <v>46145</v>
      </c>
      <c r="I14" s="4" t="s">
        <v>164</v>
      </c>
      <c r="J14" s="4" t="s">
        <v>270</v>
      </c>
      <c r="K14" s="4" t="s">
        <v>271</v>
      </c>
      <c r="L14" s="4" t="s">
        <v>264</v>
      </c>
      <c r="M14" s="20">
        <f t="shared" ca="1" si="0"/>
        <v>1</v>
      </c>
      <c r="N14" s="4" t="s">
        <v>265</v>
      </c>
      <c r="O14" s="4" t="s">
        <v>307</v>
      </c>
    </row>
    <row r="15" spans="1:15" x14ac:dyDescent="0.35">
      <c r="A15" s="4" t="s">
        <v>308</v>
      </c>
      <c r="B15" s="4" t="s">
        <v>19</v>
      </c>
      <c r="C15" s="4" t="s">
        <v>260</v>
      </c>
      <c r="D15" s="4" t="s">
        <v>309</v>
      </c>
      <c r="E15" s="22">
        <v>919311405607</v>
      </c>
      <c r="F15" s="4" t="s">
        <v>261</v>
      </c>
      <c r="G15" s="4" t="s">
        <v>174</v>
      </c>
      <c r="H15" s="20">
        <v>46145</v>
      </c>
      <c r="I15" s="4" t="s">
        <v>193</v>
      </c>
      <c r="J15" s="4" t="s">
        <v>270</v>
      </c>
      <c r="K15" s="4" t="s">
        <v>280</v>
      </c>
      <c r="L15" s="20">
        <v>46148</v>
      </c>
      <c r="M15" s="20">
        <f t="shared" ca="1" si="0"/>
        <v>1</v>
      </c>
      <c r="N15" s="4" t="s">
        <v>265</v>
      </c>
      <c r="O15" s="4" t="s">
        <v>310</v>
      </c>
    </row>
    <row r="16" spans="1:15" x14ac:dyDescent="0.35">
      <c r="A16" s="4" t="s">
        <v>311</v>
      </c>
      <c r="B16" s="4" t="s">
        <v>19</v>
      </c>
      <c r="C16" s="4" t="s">
        <v>260</v>
      </c>
      <c r="D16" s="4" t="s">
        <v>312</v>
      </c>
      <c r="E16" s="22">
        <v>918376061525</v>
      </c>
      <c r="F16" s="4" t="s">
        <v>269</v>
      </c>
      <c r="G16" s="4" t="s">
        <v>174</v>
      </c>
      <c r="H16" s="20">
        <v>46145</v>
      </c>
      <c r="I16" s="4" t="s">
        <v>193</v>
      </c>
      <c r="J16" s="4" t="s">
        <v>270</v>
      </c>
      <c r="K16" s="4" t="s">
        <v>284</v>
      </c>
      <c r="L16" s="20">
        <v>46148</v>
      </c>
      <c r="M16" s="20">
        <f t="shared" ca="1" si="0"/>
        <v>1</v>
      </c>
      <c r="N16" s="4" t="s">
        <v>265</v>
      </c>
      <c r="O16" s="4" t="s">
        <v>307</v>
      </c>
    </row>
    <row r="17" spans="1:15" s="65" customFormat="1" x14ac:dyDescent="0.35">
      <c r="A17" s="62" t="s">
        <v>313</v>
      </c>
      <c r="B17" s="62" t="s">
        <v>19</v>
      </c>
      <c r="C17" s="62" t="s">
        <v>260</v>
      </c>
      <c r="D17" s="62" t="s">
        <v>314</v>
      </c>
      <c r="E17" s="63" t="s">
        <v>260</v>
      </c>
      <c r="F17" s="62" t="s">
        <v>261</v>
      </c>
      <c r="G17" s="62" t="s">
        <v>174</v>
      </c>
      <c r="H17" s="64">
        <v>46145</v>
      </c>
      <c r="I17" s="62" t="s">
        <v>193</v>
      </c>
      <c r="J17" s="62" t="s">
        <v>270</v>
      </c>
      <c r="K17" s="62" t="s">
        <v>280</v>
      </c>
      <c r="L17" s="64">
        <v>46148</v>
      </c>
      <c r="M17" s="64">
        <f t="shared" ca="1" si="0"/>
        <v>1</v>
      </c>
      <c r="N17" s="62" t="s">
        <v>265</v>
      </c>
      <c r="O17" s="62" t="s">
        <v>288</v>
      </c>
    </row>
    <row r="18" spans="1:15" x14ac:dyDescent="0.35">
      <c r="A18" s="4" t="s">
        <v>315</v>
      </c>
      <c r="B18" s="4" t="s">
        <v>19</v>
      </c>
      <c r="C18" s="4" t="s">
        <v>260</v>
      </c>
      <c r="D18" s="4" t="s">
        <v>316</v>
      </c>
      <c r="E18" s="22" t="s">
        <v>260</v>
      </c>
      <c r="F18" s="4" t="s">
        <v>261</v>
      </c>
      <c r="G18" s="4" t="s">
        <v>174</v>
      </c>
      <c r="H18" s="20">
        <v>46145</v>
      </c>
      <c r="I18" s="4" t="s">
        <v>193</v>
      </c>
      <c r="J18" s="4" t="s">
        <v>270</v>
      </c>
      <c r="K18" s="4" t="s">
        <v>280</v>
      </c>
      <c r="L18" s="20">
        <v>46148</v>
      </c>
      <c r="M18" s="20">
        <f t="shared" ca="1" si="0"/>
        <v>1</v>
      </c>
      <c r="N18" s="4" t="s">
        <v>265</v>
      </c>
      <c r="O18" s="4" t="s">
        <v>317</v>
      </c>
    </row>
    <row r="19" spans="1:15" x14ac:dyDescent="0.35">
      <c r="A19" s="4" t="s">
        <v>318</v>
      </c>
      <c r="B19" s="4" t="s">
        <v>19</v>
      </c>
      <c r="C19" s="4" t="s">
        <v>260</v>
      </c>
      <c r="D19" s="4" t="s">
        <v>319</v>
      </c>
      <c r="E19" s="22" t="s">
        <v>260</v>
      </c>
      <c r="F19" s="4" t="s">
        <v>261</v>
      </c>
      <c r="G19" s="4" t="s">
        <v>174</v>
      </c>
      <c r="H19" s="20">
        <v>46145</v>
      </c>
      <c r="I19" s="4" t="s">
        <v>193</v>
      </c>
      <c r="J19" s="4" t="s">
        <v>270</v>
      </c>
      <c r="K19" s="4" t="s">
        <v>280</v>
      </c>
      <c r="L19" s="20">
        <v>46148</v>
      </c>
      <c r="M19" s="20">
        <f t="shared" ca="1" si="0"/>
        <v>1</v>
      </c>
      <c r="N19" s="4" t="s">
        <v>265</v>
      </c>
      <c r="O19" s="4" t="s">
        <v>320</v>
      </c>
    </row>
    <row r="20" spans="1:15" x14ac:dyDescent="0.35">
      <c r="A20" s="4" t="s">
        <v>321</v>
      </c>
      <c r="B20" s="4" t="s">
        <v>19</v>
      </c>
      <c r="C20" s="4" t="s">
        <v>260</v>
      </c>
      <c r="D20" s="4" t="s">
        <v>322</v>
      </c>
      <c r="E20" s="22" t="s">
        <v>260</v>
      </c>
      <c r="F20" s="4" t="s">
        <v>261</v>
      </c>
      <c r="G20" s="4" t="s">
        <v>174</v>
      </c>
      <c r="H20" s="20">
        <v>46145</v>
      </c>
      <c r="I20" s="4" t="s">
        <v>193</v>
      </c>
      <c r="J20" s="4" t="s">
        <v>270</v>
      </c>
      <c r="K20" s="4" t="s">
        <v>280</v>
      </c>
      <c r="L20" s="20">
        <v>46148</v>
      </c>
      <c r="M20" s="20">
        <f t="shared" ca="1" si="0"/>
        <v>1</v>
      </c>
      <c r="N20" s="4" t="s">
        <v>265</v>
      </c>
      <c r="O20" s="4" t="s">
        <v>320</v>
      </c>
    </row>
    <row r="21" spans="1:15" x14ac:dyDescent="0.35">
      <c r="A21" s="4" t="s">
        <v>323</v>
      </c>
      <c r="B21" s="4" t="s">
        <v>19</v>
      </c>
      <c r="C21" s="4" t="s">
        <v>260</v>
      </c>
      <c r="D21" s="4" t="s">
        <v>324</v>
      </c>
      <c r="E21" s="22">
        <v>918882211110</v>
      </c>
      <c r="F21" s="4" t="s">
        <v>261</v>
      </c>
      <c r="G21" s="4" t="s">
        <v>174</v>
      </c>
      <c r="H21" s="20">
        <v>46145</v>
      </c>
      <c r="I21" s="4" t="s">
        <v>193</v>
      </c>
      <c r="J21" s="4" t="s">
        <v>270</v>
      </c>
      <c r="K21" s="4" t="s">
        <v>280</v>
      </c>
      <c r="L21" s="20">
        <v>46148</v>
      </c>
      <c r="M21" s="20">
        <f t="shared" ca="1" si="0"/>
        <v>1</v>
      </c>
      <c r="N21" s="4" t="s">
        <v>265</v>
      </c>
      <c r="O21" s="4" t="s">
        <v>325</v>
      </c>
    </row>
    <row r="22" spans="1:15" x14ac:dyDescent="0.35">
      <c r="A22" s="4" t="s">
        <v>326</v>
      </c>
      <c r="B22" s="4" t="s">
        <v>19</v>
      </c>
      <c r="C22" s="4" t="s">
        <v>260</v>
      </c>
      <c r="D22" s="4" t="s">
        <v>327</v>
      </c>
      <c r="E22" s="22" t="s">
        <v>260</v>
      </c>
      <c r="F22" s="4" t="s">
        <v>261</v>
      </c>
      <c r="G22" s="4" t="s">
        <v>174</v>
      </c>
      <c r="H22" s="20">
        <v>46145</v>
      </c>
      <c r="I22" s="4" t="s">
        <v>193</v>
      </c>
      <c r="J22" s="4" t="s">
        <v>270</v>
      </c>
      <c r="K22" s="4" t="s">
        <v>280</v>
      </c>
      <c r="L22" s="20">
        <v>46148</v>
      </c>
      <c r="M22" s="20">
        <f t="shared" ca="1" si="0"/>
        <v>1</v>
      </c>
      <c r="N22" s="4" t="s">
        <v>265</v>
      </c>
      <c r="O22" s="4" t="s">
        <v>325</v>
      </c>
    </row>
    <row r="23" spans="1:15" x14ac:dyDescent="0.35">
      <c r="A23" s="4" t="s">
        <v>328</v>
      </c>
      <c r="B23" s="4" t="s">
        <v>19</v>
      </c>
      <c r="C23" s="4" t="s">
        <v>260</v>
      </c>
      <c r="D23" s="4" t="s">
        <v>329</v>
      </c>
      <c r="E23" s="22" t="s">
        <v>260</v>
      </c>
      <c r="F23" s="4" t="s">
        <v>261</v>
      </c>
      <c r="G23" s="4" t="s">
        <v>174</v>
      </c>
      <c r="H23" s="20">
        <v>46145</v>
      </c>
      <c r="I23" s="4" t="s">
        <v>193</v>
      </c>
      <c r="J23" s="4" t="s">
        <v>270</v>
      </c>
      <c r="K23" s="4" t="s">
        <v>280</v>
      </c>
      <c r="L23" s="20">
        <v>46148</v>
      </c>
      <c r="M23" s="20">
        <f t="shared" ca="1" si="0"/>
        <v>1</v>
      </c>
      <c r="N23" s="4" t="s">
        <v>265</v>
      </c>
      <c r="O23" s="4" t="s">
        <v>325</v>
      </c>
    </row>
    <row r="24" spans="1:15" x14ac:dyDescent="0.35">
      <c r="A24" s="4" t="s">
        <v>330</v>
      </c>
      <c r="B24" s="4" t="s">
        <v>19</v>
      </c>
      <c r="C24" s="4" t="s">
        <v>260</v>
      </c>
      <c r="D24" s="4" t="s">
        <v>331</v>
      </c>
      <c r="E24" s="22">
        <v>918779320849</v>
      </c>
      <c r="F24" s="4" t="s">
        <v>261</v>
      </c>
      <c r="G24" s="4" t="s">
        <v>174</v>
      </c>
      <c r="H24" s="20">
        <v>46145</v>
      </c>
      <c r="I24" s="4" t="s">
        <v>193</v>
      </c>
      <c r="J24" s="4" t="s">
        <v>270</v>
      </c>
      <c r="K24" s="4" t="s">
        <v>280</v>
      </c>
      <c r="L24" s="20">
        <v>46148</v>
      </c>
      <c r="M24" s="20">
        <f t="shared" ca="1" si="0"/>
        <v>1</v>
      </c>
      <c r="N24" s="4" t="s">
        <v>265</v>
      </c>
      <c r="O24" s="4" t="s">
        <v>332</v>
      </c>
    </row>
    <row r="25" spans="1:15" x14ac:dyDescent="0.35">
      <c r="A25" s="4" t="s">
        <v>333</v>
      </c>
      <c r="B25" s="4" t="s">
        <v>19</v>
      </c>
      <c r="C25" s="4" t="s">
        <v>260</v>
      </c>
      <c r="D25" s="4" t="s">
        <v>334</v>
      </c>
      <c r="E25" s="22" t="s">
        <v>260</v>
      </c>
      <c r="F25" s="4" t="s">
        <v>261</v>
      </c>
      <c r="G25" s="4" t="s">
        <v>174</v>
      </c>
      <c r="H25" s="20">
        <v>46145</v>
      </c>
      <c r="I25" s="4" t="s">
        <v>193</v>
      </c>
      <c r="J25" s="4" t="s">
        <v>270</v>
      </c>
      <c r="K25" s="4" t="s">
        <v>280</v>
      </c>
      <c r="L25" s="20">
        <v>46148</v>
      </c>
      <c r="M25" s="20">
        <f t="shared" ca="1" si="0"/>
        <v>1</v>
      </c>
      <c r="N25" s="4" t="s">
        <v>265</v>
      </c>
      <c r="O25" s="4" t="s">
        <v>320</v>
      </c>
    </row>
    <row r="26" spans="1:15" x14ac:dyDescent="0.35">
      <c r="A26" s="4" t="s">
        <v>335</v>
      </c>
      <c r="B26" s="4" t="s">
        <v>19</v>
      </c>
      <c r="C26" s="4" t="s">
        <v>260</v>
      </c>
      <c r="D26" s="4" t="s">
        <v>336</v>
      </c>
      <c r="E26" s="22">
        <v>918800191475</v>
      </c>
      <c r="F26" s="4" t="s">
        <v>269</v>
      </c>
      <c r="G26" s="4" t="s">
        <v>174</v>
      </c>
      <c r="H26" s="20">
        <v>46145</v>
      </c>
      <c r="I26" s="4" t="s">
        <v>193</v>
      </c>
      <c r="J26" s="4" t="s">
        <v>270</v>
      </c>
      <c r="K26" s="4" t="s">
        <v>280</v>
      </c>
      <c r="L26" s="4" t="s">
        <v>264</v>
      </c>
      <c r="M26" s="20">
        <f t="shared" ca="1" si="0"/>
        <v>1</v>
      </c>
      <c r="N26" s="4" t="s">
        <v>265</v>
      </c>
      <c r="O26" s="4" t="s">
        <v>337</v>
      </c>
    </row>
    <row r="27" spans="1:15" x14ac:dyDescent="0.35">
      <c r="A27" s="4" t="s">
        <v>338</v>
      </c>
      <c r="B27" s="4" t="s">
        <v>19</v>
      </c>
      <c r="C27" s="4" t="s">
        <v>260</v>
      </c>
      <c r="D27" s="4" t="s">
        <v>339</v>
      </c>
      <c r="E27" s="22" t="s">
        <v>260</v>
      </c>
      <c r="F27" s="4" t="s">
        <v>269</v>
      </c>
      <c r="G27" s="4" t="s">
        <v>174</v>
      </c>
      <c r="H27" s="20">
        <v>46145</v>
      </c>
      <c r="I27" s="4" t="s">
        <v>193</v>
      </c>
      <c r="J27" s="4" t="s">
        <v>270</v>
      </c>
      <c r="K27" s="4" t="s">
        <v>280</v>
      </c>
      <c r="L27" s="4" t="s">
        <v>264</v>
      </c>
      <c r="M27" s="20">
        <f t="shared" ca="1" si="0"/>
        <v>1</v>
      </c>
      <c r="N27" s="4" t="s">
        <v>265</v>
      </c>
      <c r="O27" s="4" t="s">
        <v>340</v>
      </c>
    </row>
    <row r="28" spans="1:15" x14ac:dyDescent="0.35">
      <c r="A28" s="4" t="s">
        <v>341</v>
      </c>
      <c r="B28" s="4" t="s">
        <v>19</v>
      </c>
      <c r="C28" s="4" t="s">
        <v>260</v>
      </c>
      <c r="D28" s="4" t="s">
        <v>342</v>
      </c>
      <c r="E28" s="22" t="s">
        <v>260</v>
      </c>
      <c r="F28" s="4" t="s">
        <v>269</v>
      </c>
      <c r="G28" s="4" t="s">
        <v>174</v>
      </c>
      <c r="H28" s="20">
        <v>46145</v>
      </c>
      <c r="I28" s="4" t="s">
        <v>193</v>
      </c>
      <c r="J28" s="4" t="s">
        <v>270</v>
      </c>
      <c r="K28" s="4" t="s">
        <v>280</v>
      </c>
      <c r="L28" s="4" t="s">
        <v>264</v>
      </c>
      <c r="M28" s="20">
        <f t="shared" ca="1" si="0"/>
        <v>1</v>
      </c>
      <c r="N28" s="4" t="s">
        <v>265</v>
      </c>
      <c r="O28" s="4" t="s">
        <v>343</v>
      </c>
    </row>
  </sheetData>
  <conditionalFormatting sqref="F2:F28">
    <cfRule type="expression" dxfId="16" priority="3">
      <formula>$F2="A"</formula>
    </cfRule>
    <cfRule type="expression" dxfId="15" priority="4">
      <formula>$F2="B"</formula>
    </cfRule>
    <cfRule type="expression" dxfId="14" priority="5">
      <formula>$F2="C"</formula>
    </cfRule>
  </conditionalFormatting>
  <conditionalFormatting sqref="G2:G28">
    <cfRule type="expression" dxfId="13" priority="6">
      <formula>$G2="New"</formula>
    </cfRule>
    <cfRule type="expression" dxfId="12" priority="7">
      <formula>$G2="Contacted"</formula>
    </cfRule>
    <cfRule type="expression" dxfId="11" priority="8">
      <formula>$G2="Engaged"</formula>
    </cfRule>
    <cfRule type="expression" dxfId="10" priority="9">
      <formula>$G2="Qualified"</formula>
    </cfRule>
  </conditionalFormatting>
  <conditionalFormatting sqref="J2:J28">
    <cfRule type="expression" dxfId="9" priority="10">
      <formula>$J2="No Response"</formula>
    </cfRule>
    <cfRule type="expression" dxfId="8" priority="11">
      <formula>$J2="Interested"</formula>
    </cfRule>
    <cfRule type="expression" dxfId="7" priority="12">
      <formula>$J2="Requalify"</formula>
    </cfRule>
  </conditionalFormatting>
  <conditionalFormatting sqref="M2:M28">
    <cfRule type="cellIs" dxfId="6" priority="1" operator="greaterThan">
      <formula>7</formula>
    </cfRule>
    <cfRule type="cellIs" dxfId="5" priority="2" operator="between">
      <formula>4</formula>
      <formula>7</formula>
    </cfRule>
  </conditionalFormatting>
  <dataValidations count="6">
    <dataValidation type="list" allowBlank="1" showInputMessage="1" showErrorMessage="1" errorTitle="Invalid Entry" error="The value you entered is not valid." sqref="B2:B28" xr:uid="{B95447D8-C58A-4523-8F06-25A6A5B5492F}">
      <formula1>"Platform,Association,School,Individual,Other"</formula1>
    </dataValidation>
    <dataValidation type="list" allowBlank="1" showInputMessage="1" showErrorMessage="1" errorTitle="Invalid Entry" error="The value you entered is not valid." sqref="F2:F28" xr:uid="{7510FBE9-7BDB-4263-80AE-76A95BC59508}">
      <formula1>"A,B,C"</formula1>
    </dataValidation>
    <dataValidation type="list" allowBlank="1" showInputMessage="1" showErrorMessage="1" errorTitle="Invalid Entry" error="The value you entered is not valid." sqref="G2:G28" xr:uid="{81B214B5-6714-43D3-A122-6CB1CD8DCA3A}">
      <formula1>"New,Contacted,Engaged,Qualified,Negotiating,Won,Lost"</formula1>
    </dataValidation>
    <dataValidation type="list" allowBlank="1" showInputMessage="1" showErrorMessage="1" errorTitle="Invalid Entry" error="The value you entered is not valid." sqref="I2:I28" xr:uid="{13CCF28C-E964-4506-AF80-882DE1034FF1}">
      <formula1>"Email,LinkedIn,WhatsApp,Phone,Call,Meeting,-"</formula1>
    </dataValidation>
    <dataValidation type="list" allowBlank="1" showInputMessage="1" showErrorMessage="1" errorTitle="Invalid Entry" error="The value you entered is not valid." sqref="J2:J28" xr:uid="{623AB74F-2DF2-43F2-9663-0130012F2B6F}">
      <formula1>"No Response,Interested,Not Interested,Requalify,Follow-up Needed,Meeting Scheduled,-"</formula1>
    </dataValidation>
    <dataValidation type="list" allowBlank="1" showInputMessage="1" showErrorMessage="1" errorTitle="Invalid Entry" error="The value you entered is not valid." sqref="N2:N28" xr:uid="{68D54D77-E2A1-4678-9A68-2392592013C4}">
      <formula1>"Kush,Indu,Team,Other"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5C88-B62E-4F8B-8AD6-8B077534E22A}">
  <dimension ref="A1:J50"/>
  <sheetViews>
    <sheetView topLeftCell="I1" workbookViewId="0">
      <pane ySplit="1" topLeftCell="A11" activePane="bottomLeft" state="frozen"/>
      <selection pane="bottomLeft" activeCell="J10" sqref="J10"/>
    </sheetView>
  </sheetViews>
  <sheetFormatPr defaultRowHeight="14.5" x14ac:dyDescent="0.35"/>
  <cols>
    <col min="1" max="1" width="20.90625" bestFit="1" customWidth="1"/>
    <col min="2" max="2" width="19.90625" bestFit="1" customWidth="1"/>
    <col min="3" max="3" width="6.36328125" bestFit="1" customWidth="1"/>
    <col min="4" max="4" width="24.81640625" bestFit="1" customWidth="1"/>
    <col min="5" max="5" width="14.6328125" style="66" bestFit="1" customWidth="1"/>
    <col min="6" max="6" width="33.90625" bestFit="1" customWidth="1"/>
    <col min="7" max="7" width="3.90625" bestFit="1" customWidth="1"/>
    <col min="8" max="8" width="9.26953125" customWidth="1"/>
    <col min="9" max="9" width="20.81640625" customWidth="1"/>
    <col min="10" max="10" width="95.7265625" bestFit="1" customWidth="1"/>
  </cols>
  <sheetData>
    <row r="1" spans="1:10" x14ac:dyDescent="0.35">
      <c r="A1" t="s">
        <v>345</v>
      </c>
      <c r="B1" t="s">
        <v>346</v>
      </c>
      <c r="C1" t="s">
        <v>249</v>
      </c>
      <c r="D1" t="s">
        <v>347</v>
      </c>
      <c r="E1" s="66" t="s">
        <v>250</v>
      </c>
      <c r="F1" t="s">
        <v>193</v>
      </c>
      <c r="G1" t="s">
        <v>251</v>
      </c>
      <c r="H1" t="s">
        <v>172</v>
      </c>
      <c r="I1" t="s">
        <v>255</v>
      </c>
      <c r="J1" t="s">
        <v>258</v>
      </c>
    </row>
    <row r="2" spans="1:10" x14ac:dyDescent="0.35">
      <c r="A2" t="s">
        <v>348</v>
      </c>
      <c r="B2" t="s">
        <v>349</v>
      </c>
      <c r="C2" t="s">
        <v>350</v>
      </c>
      <c r="D2" t="s">
        <v>351</v>
      </c>
      <c r="E2" s="66" t="s">
        <v>260</v>
      </c>
      <c r="F2" t="s">
        <v>260</v>
      </c>
      <c r="G2" t="s">
        <v>269</v>
      </c>
      <c r="H2" t="s">
        <v>262</v>
      </c>
      <c r="I2" t="s">
        <v>352</v>
      </c>
      <c r="J2" t="s">
        <v>353</v>
      </c>
    </row>
    <row r="3" spans="1:10" x14ac:dyDescent="0.35">
      <c r="A3" t="s">
        <v>354</v>
      </c>
      <c r="B3" t="s">
        <v>355</v>
      </c>
      <c r="C3" t="s">
        <v>350</v>
      </c>
      <c r="D3" t="s">
        <v>356</v>
      </c>
      <c r="E3" s="66" t="s">
        <v>260</v>
      </c>
      <c r="F3" t="s">
        <v>260</v>
      </c>
      <c r="G3" t="s">
        <v>269</v>
      </c>
      <c r="H3" t="s">
        <v>262</v>
      </c>
      <c r="I3" t="s">
        <v>352</v>
      </c>
      <c r="J3" t="s">
        <v>357</v>
      </c>
    </row>
    <row r="4" spans="1:10" x14ac:dyDescent="0.35">
      <c r="A4" t="s">
        <v>358</v>
      </c>
      <c r="B4" t="s">
        <v>359</v>
      </c>
      <c r="C4" t="s">
        <v>350</v>
      </c>
      <c r="D4" t="s">
        <v>360</v>
      </c>
      <c r="E4" s="66" t="s">
        <v>260</v>
      </c>
      <c r="F4" t="s">
        <v>260</v>
      </c>
      <c r="G4" t="s">
        <v>269</v>
      </c>
      <c r="H4" t="s">
        <v>262</v>
      </c>
      <c r="I4" t="s">
        <v>352</v>
      </c>
      <c r="J4" t="s">
        <v>361</v>
      </c>
    </row>
    <row r="5" spans="1:10" x14ac:dyDescent="0.35">
      <c r="A5" t="s">
        <v>362</v>
      </c>
      <c r="B5" t="s">
        <v>363</v>
      </c>
      <c r="C5" t="s">
        <v>350</v>
      </c>
      <c r="D5" t="s">
        <v>364</v>
      </c>
      <c r="E5" s="66" t="s">
        <v>260</v>
      </c>
      <c r="F5" t="s">
        <v>260</v>
      </c>
      <c r="G5" t="s">
        <v>269</v>
      </c>
      <c r="H5" t="s">
        <v>262</v>
      </c>
      <c r="I5" t="s">
        <v>352</v>
      </c>
      <c r="J5" t="s">
        <v>365</v>
      </c>
    </row>
    <row r="6" spans="1:10" x14ac:dyDescent="0.35">
      <c r="A6" t="s">
        <v>366</v>
      </c>
      <c r="B6" t="s">
        <v>367</v>
      </c>
      <c r="C6" t="s">
        <v>350</v>
      </c>
      <c r="D6" t="s">
        <v>368</v>
      </c>
      <c r="E6" s="66" t="s">
        <v>560</v>
      </c>
      <c r="F6" t="s">
        <v>446</v>
      </c>
      <c r="G6" t="s">
        <v>269</v>
      </c>
      <c r="H6" t="s">
        <v>262</v>
      </c>
      <c r="I6" t="s">
        <v>352</v>
      </c>
      <c r="J6" t="s">
        <v>369</v>
      </c>
    </row>
    <row r="7" spans="1:10" x14ac:dyDescent="0.35">
      <c r="A7" t="s">
        <v>370</v>
      </c>
      <c r="B7" t="s">
        <v>371</v>
      </c>
      <c r="C7" t="s">
        <v>350</v>
      </c>
      <c r="D7" t="s">
        <v>351</v>
      </c>
      <c r="E7" s="66" t="s">
        <v>260</v>
      </c>
      <c r="F7" t="s">
        <v>260</v>
      </c>
      <c r="G7" t="s">
        <v>261</v>
      </c>
      <c r="H7" t="s">
        <v>262</v>
      </c>
      <c r="I7" t="s">
        <v>352</v>
      </c>
      <c r="J7" t="s">
        <v>372</v>
      </c>
    </row>
    <row r="8" spans="1:10" x14ac:dyDescent="0.35">
      <c r="A8" t="s">
        <v>373</v>
      </c>
      <c r="B8" t="s">
        <v>374</v>
      </c>
      <c r="C8" t="s">
        <v>350</v>
      </c>
      <c r="D8" t="s">
        <v>375</v>
      </c>
      <c r="E8" s="66" t="s">
        <v>260</v>
      </c>
      <c r="F8" t="s">
        <v>260</v>
      </c>
      <c r="G8" t="s">
        <v>261</v>
      </c>
      <c r="H8" t="s">
        <v>262</v>
      </c>
      <c r="I8" t="s">
        <v>352</v>
      </c>
      <c r="J8" t="s">
        <v>376</v>
      </c>
    </row>
    <row r="9" spans="1:10" x14ac:dyDescent="0.35">
      <c r="A9" t="s">
        <v>377</v>
      </c>
      <c r="B9" t="s">
        <v>378</v>
      </c>
      <c r="C9" t="s">
        <v>350</v>
      </c>
      <c r="D9" t="s">
        <v>379</v>
      </c>
      <c r="E9" s="66" t="s">
        <v>260</v>
      </c>
      <c r="F9" t="s">
        <v>260</v>
      </c>
      <c r="G9" t="s">
        <v>261</v>
      </c>
      <c r="H9" t="s">
        <v>262</v>
      </c>
      <c r="I9" t="s">
        <v>352</v>
      </c>
      <c r="J9" t="s">
        <v>380</v>
      </c>
    </row>
    <row r="10" spans="1:10" x14ac:dyDescent="0.35">
      <c r="A10" t="s">
        <v>381</v>
      </c>
      <c r="B10" t="s">
        <v>382</v>
      </c>
      <c r="C10" t="s">
        <v>350</v>
      </c>
      <c r="D10" t="s">
        <v>383</v>
      </c>
      <c r="E10" s="66" t="s">
        <v>260</v>
      </c>
      <c r="F10" t="s">
        <v>260</v>
      </c>
      <c r="G10" t="s">
        <v>304</v>
      </c>
      <c r="H10" t="s">
        <v>262</v>
      </c>
      <c r="I10" t="s">
        <v>352</v>
      </c>
      <c r="J10" t="s">
        <v>384</v>
      </c>
    </row>
    <row r="11" spans="1:10" x14ac:dyDescent="0.35">
      <c r="A11" t="s">
        <v>385</v>
      </c>
      <c r="B11" t="s">
        <v>386</v>
      </c>
      <c r="C11" t="s">
        <v>350</v>
      </c>
      <c r="D11" t="s">
        <v>387</v>
      </c>
      <c r="E11" s="66" t="s">
        <v>260</v>
      </c>
      <c r="F11" t="s">
        <v>260</v>
      </c>
      <c r="G11" t="s">
        <v>261</v>
      </c>
      <c r="H11" t="s">
        <v>262</v>
      </c>
      <c r="I11" t="s">
        <v>352</v>
      </c>
      <c r="J11" t="s">
        <v>388</v>
      </c>
    </row>
    <row r="12" spans="1:10" x14ac:dyDescent="0.35">
      <c r="A12" t="s">
        <v>389</v>
      </c>
      <c r="B12" t="s">
        <v>349</v>
      </c>
      <c r="C12" t="s">
        <v>390</v>
      </c>
      <c r="D12" t="s">
        <v>391</v>
      </c>
      <c r="E12" s="66" t="s">
        <v>260</v>
      </c>
      <c r="F12" t="s">
        <v>260</v>
      </c>
      <c r="G12" t="s">
        <v>269</v>
      </c>
      <c r="H12" t="s">
        <v>262</v>
      </c>
      <c r="I12" t="s">
        <v>352</v>
      </c>
      <c r="J12" t="s">
        <v>392</v>
      </c>
    </row>
    <row r="13" spans="1:10" x14ac:dyDescent="0.35">
      <c r="A13" t="s">
        <v>393</v>
      </c>
      <c r="B13" t="s">
        <v>355</v>
      </c>
      <c r="C13" t="s">
        <v>390</v>
      </c>
      <c r="D13" t="s">
        <v>394</v>
      </c>
      <c r="E13" s="66" t="s">
        <v>260</v>
      </c>
      <c r="F13" t="s">
        <v>260</v>
      </c>
      <c r="G13" t="s">
        <v>269</v>
      </c>
      <c r="H13" t="s">
        <v>262</v>
      </c>
      <c r="I13" t="s">
        <v>352</v>
      </c>
      <c r="J13" t="s">
        <v>395</v>
      </c>
    </row>
    <row r="14" spans="1:10" x14ac:dyDescent="0.35">
      <c r="A14" t="s">
        <v>396</v>
      </c>
      <c r="B14" t="s">
        <v>359</v>
      </c>
      <c r="C14" t="s">
        <v>390</v>
      </c>
      <c r="D14" t="s">
        <v>397</v>
      </c>
      <c r="E14" s="66" t="s">
        <v>260</v>
      </c>
      <c r="F14" t="s">
        <v>260</v>
      </c>
      <c r="G14" t="s">
        <v>269</v>
      </c>
      <c r="H14" t="s">
        <v>262</v>
      </c>
      <c r="I14" t="s">
        <v>352</v>
      </c>
      <c r="J14" t="s">
        <v>398</v>
      </c>
    </row>
    <row r="15" spans="1:10" x14ac:dyDescent="0.35">
      <c r="A15" t="s">
        <v>399</v>
      </c>
      <c r="B15" t="s">
        <v>363</v>
      </c>
      <c r="C15" t="s">
        <v>390</v>
      </c>
      <c r="D15" t="s">
        <v>400</v>
      </c>
      <c r="E15" s="66" t="s">
        <v>260</v>
      </c>
      <c r="F15" t="s">
        <v>260</v>
      </c>
      <c r="G15" t="s">
        <v>269</v>
      </c>
      <c r="H15" t="s">
        <v>262</v>
      </c>
      <c r="I15" t="s">
        <v>352</v>
      </c>
      <c r="J15" t="s">
        <v>401</v>
      </c>
    </row>
    <row r="16" spans="1:10" x14ac:dyDescent="0.35">
      <c r="A16" t="s">
        <v>402</v>
      </c>
      <c r="B16" t="s">
        <v>367</v>
      </c>
      <c r="C16" t="s">
        <v>390</v>
      </c>
      <c r="D16" t="s">
        <v>403</v>
      </c>
      <c r="E16" s="66" t="s">
        <v>260</v>
      </c>
      <c r="F16" t="s">
        <v>260</v>
      </c>
      <c r="G16" t="s">
        <v>269</v>
      </c>
      <c r="H16" t="s">
        <v>262</v>
      </c>
      <c r="I16" t="s">
        <v>352</v>
      </c>
      <c r="J16" t="s">
        <v>404</v>
      </c>
    </row>
    <row r="17" spans="1:10" x14ac:dyDescent="0.35">
      <c r="A17" t="s">
        <v>405</v>
      </c>
      <c r="B17" t="s">
        <v>371</v>
      </c>
      <c r="C17" t="s">
        <v>390</v>
      </c>
      <c r="D17" t="s">
        <v>360</v>
      </c>
      <c r="E17" s="66" t="s">
        <v>260</v>
      </c>
      <c r="F17" t="s">
        <v>260</v>
      </c>
      <c r="G17" t="s">
        <v>261</v>
      </c>
      <c r="H17" t="s">
        <v>262</v>
      </c>
      <c r="I17" t="s">
        <v>352</v>
      </c>
      <c r="J17" t="s">
        <v>372</v>
      </c>
    </row>
    <row r="18" spans="1:10" x14ac:dyDescent="0.35">
      <c r="A18" t="s">
        <v>406</v>
      </c>
      <c r="B18" t="s">
        <v>374</v>
      </c>
      <c r="C18" t="s">
        <v>390</v>
      </c>
      <c r="D18" t="s">
        <v>375</v>
      </c>
      <c r="E18" s="66" t="s">
        <v>260</v>
      </c>
      <c r="F18" t="s">
        <v>260</v>
      </c>
      <c r="G18" t="s">
        <v>261</v>
      </c>
      <c r="H18" t="s">
        <v>262</v>
      </c>
      <c r="I18" t="s">
        <v>352</v>
      </c>
      <c r="J18" t="s">
        <v>407</v>
      </c>
    </row>
    <row r="19" spans="1:10" x14ac:dyDescent="0.35">
      <c r="A19" t="s">
        <v>408</v>
      </c>
      <c r="B19" t="s">
        <v>378</v>
      </c>
      <c r="C19" t="s">
        <v>390</v>
      </c>
      <c r="D19" t="s">
        <v>409</v>
      </c>
      <c r="E19" s="66" t="s">
        <v>260</v>
      </c>
      <c r="F19" t="s">
        <v>260</v>
      </c>
      <c r="G19" t="s">
        <v>261</v>
      </c>
      <c r="H19" t="s">
        <v>262</v>
      </c>
      <c r="I19" t="s">
        <v>352</v>
      </c>
      <c r="J19" t="s">
        <v>380</v>
      </c>
    </row>
    <row r="20" spans="1:10" x14ac:dyDescent="0.35">
      <c r="A20" t="s">
        <v>410</v>
      </c>
      <c r="B20" t="s">
        <v>382</v>
      </c>
      <c r="C20" t="s">
        <v>390</v>
      </c>
      <c r="D20" t="s">
        <v>383</v>
      </c>
      <c r="E20" s="66" t="s">
        <v>260</v>
      </c>
      <c r="F20" t="s">
        <v>260</v>
      </c>
      <c r="G20" t="s">
        <v>304</v>
      </c>
      <c r="H20" t="s">
        <v>262</v>
      </c>
      <c r="I20" t="s">
        <v>352</v>
      </c>
      <c r="J20" t="s">
        <v>384</v>
      </c>
    </row>
    <row r="21" spans="1:10" x14ac:dyDescent="0.35">
      <c r="A21" t="s">
        <v>411</v>
      </c>
      <c r="B21" t="s">
        <v>386</v>
      </c>
      <c r="C21" t="s">
        <v>390</v>
      </c>
      <c r="D21" t="s">
        <v>412</v>
      </c>
      <c r="E21" s="66" t="s">
        <v>260</v>
      </c>
      <c r="F21" t="s">
        <v>260</v>
      </c>
      <c r="G21" t="s">
        <v>261</v>
      </c>
      <c r="H21" t="s">
        <v>262</v>
      </c>
      <c r="I21" t="s">
        <v>352</v>
      </c>
      <c r="J21" t="s">
        <v>413</v>
      </c>
    </row>
    <row r="22" spans="1:10" x14ac:dyDescent="0.35">
      <c r="A22" t="s">
        <v>414</v>
      </c>
      <c r="B22" t="s">
        <v>349</v>
      </c>
      <c r="C22" t="s">
        <v>390</v>
      </c>
      <c r="D22" t="s">
        <v>415</v>
      </c>
      <c r="E22" s="66" t="s">
        <v>416</v>
      </c>
      <c r="F22" t="s">
        <v>417</v>
      </c>
      <c r="G22" t="s">
        <v>269</v>
      </c>
      <c r="H22" t="s">
        <v>262</v>
      </c>
      <c r="I22" t="s">
        <v>352</v>
      </c>
      <c r="J22" t="s">
        <v>418</v>
      </c>
    </row>
    <row r="23" spans="1:10" x14ac:dyDescent="0.35">
      <c r="A23" t="s">
        <v>419</v>
      </c>
      <c r="B23" t="s">
        <v>349</v>
      </c>
      <c r="C23" t="s">
        <v>390</v>
      </c>
      <c r="D23" t="s">
        <v>420</v>
      </c>
      <c r="E23" s="66" t="s">
        <v>447</v>
      </c>
      <c r="F23" t="s">
        <v>421</v>
      </c>
      <c r="G23" t="s">
        <v>269</v>
      </c>
      <c r="H23" t="s">
        <v>262</v>
      </c>
      <c r="I23" t="s">
        <v>352</v>
      </c>
      <c r="J23" t="s">
        <v>422</v>
      </c>
    </row>
    <row r="24" spans="1:10" x14ac:dyDescent="0.35">
      <c r="A24" t="s">
        <v>423</v>
      </c>
      <c r="B24" t="s">
        <v>349</v>
      </c>
      <c r="C24" t="s">
        <v>390</v>
      </c>
      <c r="D24" t="s">
        <v>424</v>
      </c>
      <c r="E24" s="66" t="s">
        <v>425</v>
      </c>
      <c r="F24" t="s">
        <v>260</v>
      </c>
      <c r="G24" t="s">
        <v>269</v>
      </c>
      <c r="H24" t="s">
        <v>262</v>
      </c>
      <c r="I24" t="s">
        <v>352</v>
      </c>
      <c r="J24" t="s">
        <v>426</v>
      </c>
    </row>
    <row r="25" spans="1:10" x14ac:dyDescent="0.35">
      <c r="A25" t="s">
        <v>427</v>
      </c>
      <c r="B25" t="s">
        <v>349</v>
      </c>
      <c r="C25" t="s">
        <v>390</v>
      </c>
      <c r="D25" t="s">
        <v>428</v>
      </c>
      <c r="E25" s="66" t="s">
        <v>429</v>
      </c>
      <c r="F25" t="s">
        <v>260</v>
      </c>
      <c r="G25" t="s">
        <v>269</v>
      </c>
      <c r="H25" t="s">
        <v>262</v>
      </c>
      <c r="I25" t="s">
        <v>352</v>
      </c>
      <c r="J25" t="s">
        <v>430</v>
      </c>
    </row>
    <row r="26" spans="1:10" x14ac:dyDescent="0.35">
      <c r="A26" t="s">
        <v>431</v>
      </c>
      <c r="B26" t="s">
        <v>349</v>
      </c>
      <c r="C26" t="s">
        <v>390</v>
      </c>
      <c r="D26" t="s">
        <v>432</v>
      </c>
      <c r="E26" s="66" t="s">
        <v>433</v>
      </c>
      <c r="F26" t="s">
        <v>434</v>
      </c>
      <c r="G26" t="s">
        <v>269</v>
      </c>
      <c r="H26" t="s">
        <v>262</v>
      </c>
      <c r="I26" t="s">
        <v>352</v>
      </c>
      <c r="J26" t="s">
        <v>422</v>
      </c>
    </row>
    <row r="27" spans="1:10" x14ac:dyDescent="0.35">
      <c r="A27" t="s">
        <v>435</v>
      </c>
      <c r="B27" t="s">
        <v>349</v>
      </c>
      <c r="C27" t="s">
        <v>390</v>
      </c>
      <c r="D27" t="s">
        <v>436</v>
      </c>
      <c r="E27" s="66" t="s">
        <v>437</v>
      </c>
      <c r="F27" t="s">
        <v>438</v>
      </c>
      <c r="G27" t="s">
        <v>269</v>
      </c>
      <c r="H27" t="s">
        <v>262</v>
      </c>
      <c r="I27" t="s">
        <v>352</v>
      </c>
      <c r="J27" t="s">
        <v>439</v>
      </c>
    </row>
    <row r="28" spans="1:10" x14ac:dyDescent="0.35">
      <c r="A28" t="s">
        <v>440</v>
      </c>
      <c r="B28" t="s">
        <v>349</v>
      </c>
      <c r="C28" t="s">
        <v>390</v>
      </c>
      <c r="D28" t="s">
        <v>441</v>
      </c>
      <c r="E28" s="66" t="s">
        <v>544</v>
      </c>
      <c r="F28" t="s">
        <v>260</v>
      </c>
      <c r="G28" t="s">
        <v>269</v>
      </c>
      <c r="H28" t="s">
        <v>262</v>
      </c>
      <c r="I28" t="s">
        <v>352</v>
      </c>
      <c r="J28" t="s">
        <v>439</v>
      </c>
    </row>
    <row r="29" spans="1:10" x14ac:dyDescent="0.35">
      <c r="A29" t="s">
        <v>442</v>
      </c>
      <c r="B29" t="s">
        <v>349</v>
      </c>
      <c r="C29" t="s">
        <v>390</v>
      </c>
      <c r="D29" t="s">
        <v>443</v>
      </c>
      <c r="E29" s="66">
        <v>9926170579</v>
      </c>
      <c r="F29" t="s">
        <v>260</v>
      </c>
      <c r="G29" t="s">
        <v>269</v>
      </c>
      <c r="H29" t="s">
        <v>262</v>
      </c>
      <c r="I29" t="s">
        <v>352</v>
      </c>
      <c r="J29" t="s">
        <v>444</v>
      </c>
    </row>
    <row r="30" spans="1:10" x14ac:dyDescent="0.35">
      <c r="A30" t="s">
        <v>445</v>
      </c>
      <c r="B30" t="s">
        <v>349</v>
      </c>
      <c r="C30" t="s">
        <v>390</v>
      </c>
      <c r="D30" t="s">
        <v>424</v>
      </c>
      <c r="E30" s="66" t="s">
        <v>559</v>
      </c>
      <c r="F30" t="s">
        <v>260</v>
      </c>
      <c r="G30" t="s">
        <v>269</v>
      </c>
      <c r="H30" t="s">
        <v>262</v>
      </c>
      <c r="I30" t="s">
        <v>352</v>
      </c>
      <c r="J30" t="s">
        <v>426</v>
      </c>
    </row>
    <row r="31" spans="1:10" ht="22" customHeight="1" x14ac:dyDescent="0.35">
      <c r="A31" t="s">
        <v>448</v>
      </c>
      <c r="B31" t="s">
        <v>449</v>
      </c>
      <c r="C31" t="s">
        <v>350</v>
      </c>
      <c r="D31" t="s">
        <v>351</v>
      </c>
      <c r="E31" s="66" t="s">
        <v>450</v>
      </c>
      <c r="F31" t="s">
        <v>451</v>
      </c>
      <c r="G31" t="s">
        <v>269</v>
      </c>
      <c r="H31" t="s">
        <v>262</v>
      </c>
      <c r="I31" t="s">
        <v>352</v>
      </c>
      <c r="J31" t="s">
        <v>452</v>
      </c>
    </row>
    <row r="32" spans="1:10" ht="22" customHeight="1" x14ac:dyDescent="0.35">
      <c r="A32" t="s">
        <v>453</v>
      </c>
      <c r="B32" t="s">
        <v>454</v>
      </c>
      <c r="C32" t="s">
        <v>390</v>
      </c>
      <c r="D32" t="s">
        <v>455</v>
      </c>
      <c r="E32" s="66" t="s">
        <v>456</v>
      </c>
      <c r="F32" s="67" t="s">
        <v>457</v>
      </c>
      <c r="G32" t="s">
        <v>269</v>
      </c>
      <c r="H32" t="s">
        <v>262</v>
      </c>
      <c r="I32" t="s">
        <v>352</v>
      </c>
      <c r="J32" t="s">
        <v>458</v>
      </c>
    </row>
    <row r="33" spans="1:10" ht="22" customHeight="1" x14ac:dyDescent="0.35">
      <c r="A33" t="s">
        <v>459</v>
      </c>
      <c r="B33" t="s">
        <v>460</v>
      </c>
      <c r="C33" t="s">
        <v>390</v>
      </c>
      <c r="D33" t="s">
        <v>455</v>
      </c>
      <c r="E33" s="66" t="s">
        <v>461</v>
      </c>
      <c r="F33" t="s">
        <v>462</v>
      </c>
      <c r="G33" t="s">
        <v>269</v>
      </c>
      <c r="H33" t="s">
        <v>262</v>
      </c>
      <c r="I33" t="s">
        <v>352</v>
      </c>
      <c r="J33" t="s">
        <v>463</v>
      </c>
    </row>
    <row r="34" spans="1:10" ht="22" customHeight="1" x14ac:dyDescent="0.35">
      <c r="A34" t="s">
        <v>464</v>
      </c>
      <c r="B34" t="s">
        <v>465</v>
      </c>
      <c r="C34" t="s">
        <v>350</v>
      </c>
      <c r="D34" t="s">
        <v>466</v>
      </c>
      <c r="E34" s="66" t="s">
        <v>467</v>
      </c>
      <c r="F34" t="s">
        <v>468</v>
      </c>
      <c r="G34" t="s">
        <v>269</v>
      </c>
      <c r="H34" t="s">
        <v>262</v>
      </c>
      <c r="I34" t="s">
        <v>352</v>
      </c>
      <c r="J34" t="s">
        <v>469</v>
      </c>
    </row>
    <row r="35" spans="1:10" ht="22" customHeight="1" x14ac:dyDescent="0.35">
      <c r="A35" t="s">
        <v>470</v>
      </c>
      <c r="B35" t="s">
        <v>471</v>
      </c>
      <c r="C35" t="s">
        <v>350</v>
      </c>
      <c r="D35" t="s">
        <v>472</v>
      </c>
      <c r="E35" s="66" t="s">
        <v>473</v>
      </c>
      <c r="F35" t="s">
        <v>474</v>
      </c>
      <c r="G35" t="s">
        <v>269</v>
      </c>
      <c r="H35" t="s">
        <v>262</v>
      </c>
      <c r="I35" t="s">
        <v>352</v>
      </c>
      <c r="J35" t="s">
        <v>475</v>
      </c>
    </row>
    <row r="36" spans="1:10" ht="22" customHeight="1" x14ac:dyDescent="0.35">
      <c r="A36" t="s">
        <v>476</v>
      </c>
      <c r="B36" t="s">
        <v>477</v>
      </c>
      <c r="C36" t="s">
        <v>390</v>
      </c>
      <c r="D36" t="s">
        <v>478</v>
      </c>
      <c r="E36" s="66" t="s">
        <v>479</v>
      </c>
      <c r="F36" t="s">
        <v>480</v>
      </c>
      <c r="G36" t="s">
        <v>269</v>
      </c>
      <c r="H36" t="s">
        <v>262</v>
      </c>
      <c r="I36" t="s">
        <v>352</v>
      </c>
      <c r="J36" t="s">
        <v>481</v>
      </c>
    </row>
    <row r="37" spans="1:10" ht="22" customHeight="1" x14ac:dyDescent="0.35">
      <c r="A37" t="s">
        <v>482</v>
      </c>
      <c r="B37" t="s">
        <v>483</v>
      </c>
      <c r="C37" t="s">
        <v>390</v>
      </c>
      <c r="D37" t="s">
        <v>484</v>
      </c>
      <c r="E37" s="66" t="s">
        <v>485</v>
      </c>
      <c r="F37" t="s">
        <v>486</v>
      </c>
      <c r="G37" t="s">
        <v>269</v>
      </c>
      <c r="H37" t="s">
        <v>262</v>
      </c>
      <c r="I37" t="s">
        <v>352</v>
      </c>
      <c r="J37" t="s">
        <v>487</v>
      </c>
    </row>
    <row r="38" spans="1:10" ht="22" customHeight="1" x14ac:dyDescent="0.35">
      <c r="A38" t="s">
        <v>488</v>
      </c>
      <c r="B38" t="s">
        <v>489</v>
      </c>
      <c r="C38" t="s">
        <v>350</v>
      </c>
      <c r="D38" t="s">
        <v>472</v>
      </c>
      <c r="E38" s="66" t="s">
        <v>473</v>
      </c>
      <c r="F38" t="s">
        <v>490</v>
      </c>
      <c r="G38" t="s">
        <v>269</v>
      </c>
      <c r="H38" t="s">
        <v>262</v>
      </c>
      <c r="I38" t="s">
        <v>352</v>
      </c>
      <c r="J38" t="s">
        <v>491</v>
      </c>
    </row>
    <row r="39" spans="1:10" ht="22" customHeight="1" x14ac:dyDescent="0.35">
      <c r="A39" t="s">
        <v>492</v>
      </c>
      <c r="B39" t="s">
        <v>493</v>
      </c>
      <c r="C39" t="s">
        <v>350</v>
      </c>
      <c r="D39" t="s">
        <v>351</v>
      </c>
      <c r="E39" s="66" t="s">
        <v>494</v>
      </c>
      <c r="F39" t="s">
        <v>495</v>
      </c>
      <c r="G39" t="s">
        <v>269</v>
      </c>
      <c r="H39" t="s">
        <v>262</v>
      </c>
      <c r="I39" t="s">
        <v>352</v>
      </c>
      <c r="J39" t="s">
        <v>496</v>
      </c>
    </row>
    <row r="40" spans="1:10" ht="22" customHeight="1" x14ac:dyDescent="0.35">
      <c r="A40" t="s">
        <v>497</v>
      </c>
      <c r="B40" t="s">
        <v>498</v>
      </c>
      <c r="C40" t="s">
        <v>390</v>
      </c>
      <c r="D40" t="s">
        <v>499</v>
      </c>
      <c r="E40" s="66" t="s">
        <v>500</v>
      </c>
      <c r="F40" t="s">
        <v>501</v>
      </c>
      <c r="G40" t="s">
        <v>269</v>
      </c>
      <c r="H40" t="s">
        <v>262</v>
      </c>
      <c r="I40" t="s">
        <v>352</v>
      </c>
      <c r="J40" t="s">
        <v>502</v>
      </c>
    </row>
    <row r="41" spans="1:10" ht="22" customHeight="1" x14ac:dyDescent="0.35">
      <c r="A41" t="s">
        <v>503</v>
      </c>
      <c r="B41" t="s">
        <v>504</v>
      </c>
      <c r="C41" t="s">
        <v>350</v>
      </c>
      <c r="D41" t="s">
        <v>505</v>
      </c>
      <c r="E41" s="66">
        <v>7880161616</v>
      </c>
      <c r="F41" t="s">
        <v>506</v>
      </c>
      <c r="G41" t="s">
        <v>269</v>
      </c>
      <c r="H41" t="s">
        <v>262</v>
      </c>
      <c r="I41" t="s">
        <v>352</v>
      </c>
      <c r="J41" t="s">
        <v>507</v>
      </c>
    </row>
    <row r="42" spans="1:10" ht="22" customHeight="1" x14ac:dyDescent="0.35">
      <c r="A42" t="s">
        <v>508</v>
      </c>
      <c r="B42" t="s">
        <v>509</v>
      </c>
      <c r="C42" t="s">
        <v>390</v>
      </c>
      <c r="D42" t="s">
        <v>510</v>
      </c>
      <c r="E42" s="66" t="s">
        <v>511</v>
      </c>
      <c r="F42" t="s">
        <v>512</v>
      </c>
      <c r="G42" t="s">
        <v>269</v>
      </c>
      <c r="H42" t="s">
        <v>262</v>
      </c>
      <c r="I42" t="s">
        <v>352</v>
      </c>
      <c r="J42" t="s">
        <v>513</v>
      </c>
    </row>
    <row r="43" spans="1:10" ht="22" customHeight="1" x14ac:dyDescent="0.35">
      <c r="A43" t="s">
        <v>514</v>
      </c>
      <c r="B43" t="s">
        <v>471</v>
      </c>
      <c r="C43" t="s">
        <v>390</v>
      </c>
      <c r="D43" t="s">
        <v>499</v>
      </c>
      <c r="E43" s="66" t="s">
        <v>500</v>
      </c>
      <c r="F43" t="s">
        <v>515</v>
      </c>
      <c r="G43" t="s">
        <v>269</v>
      </c>
      <c r="H43" t="s">
        <v>262</v>
      </c>
      <c r="I43" t="s">
        <v>352</v>
      </c>
      <c r="J43" t="s">
        <v>516</v>
      </c>
    </row>
    <row r="44" spans="1:10" ht="22" customHeight="1" x14ac:dyDescent="0.35">
      <c r="A44" t="s">
        <v>517</v>
      </c>
      <c r="B44" t="s">
        <v>518</v>
      </c>
      <c r="C44" t="s">
        <v>350</v>
      </c>
      <c r="D44" t="s">
        <v>351</v>
      </c>
      <c r="E44" s="66" t="s">
        <v>450</v>
      </c>
      <c r="F44" t="s">
        <v>519</v>
      </c>
      <c r="G44" t="s">
        <v>269</v>
      </c>
      <c r="H44" t="s">
        <v>262</v>
      </c>
      <c r="I44" t="s">
        <v>352</v>
      </c>
      <c r="J44" t="s">
        <v>520</v>
      </c>
    </row>
    <row r="45" spans="1:10" ht="22" customHeight="1" x14ac:dyDescent="0.35">
      <c r="A45" t="s">
        <v>521</v>
      </c>
      <c r="B45" t="s">
        <v>522</v>
      </c>
      <c r="C45" t="s">
        <v>390</v>
      </c>
      <c r="D45" t="s">
        <v>455</v>
      </c>
      <c r="E45" s="66" t="s">
        <v>523</v>
      </c>
      <c r="F45" t="s">
        <v>524</v>
      </c>
      <c r="G45" t="s">
        <v>269</v>
      </c>
      <c r="H45" t="s">
        <v>262</v>
      </c>
      <c r="I45" t="s">
        <v>352</v>
      </c>
      <c r="J45" t="s">
        <v>525</v>
      </c>
    </row>
    <row r="46" spans="1:10" ht="22" customHeight="1" x14ac:dyDescent="0.35">
      <c r="A46" t="s">
        <v>526</v>
      </c>
      <c r="B46" t="s">
        <v>527</v>
      </c>
      <c r="C46" t="s">
        <v>350</v>
      </c>
      <c r="D46" t="s">
        <v>466</v>
      </c>
      <c r="E46" s="66" t="s">
        <v>467</v>
      </c>
      <c r="F46" t="s">
        <v>528</v>
      </c>
      <c r="G46" t="s">
        <v>269</v>
      </c>
      <c r="H46" t="s">
        <v>262</v>
      </c>
      <c r="I46" t="s">
        <v>352</v>
      </c>
      <c r="J46" t="s">
        <v>529</v>
      </c>
    </row>
    <row r="47" spans="1:10" ht="22" customHeight="1" x14ac:dyDescent="0.35">
      <c r="A47" t="s">
        <v>530</v>
      </c>
      <c r="B47" t="s">
        <v>477</v>
      </c>
      <c r="C47" t="s">
        <v>350</v>
      </c>
      <c r="D47" t="s">
        <v>351</v>
      </c>
      <c r="E47" s="66" t="s">
        <v>450</v>
      </c>
      <c r="F47" t="s">
        <v>531</v>
      </c>
      <c r="G47" t="s">
        <v>269</v>
      </c>
      <c r="H47" t="s">
        <v>262</v>
      </c>
      <c r="I47" t="s">
        <v>352</v>
      </c>
      <c r="J47" t="s">
        <v>532</v>
      </c>
    </row>
    <row r="48" spans="1:10" ht="22" customHeight="1" x14ac:dyDescent="0.35">
      <c r="A48" t="s">
        <v>533</v>
      </c>
      <c r="B48" t="s">
        <v>534</v>
      </c>
      <c r="C48" t="s">
        <v>350</v>
      </c>
      <c r="D48" t="s">
        <v>351</v>
      </c>
      <c r="E48" s="66" t="s">
        <v>450</v>
      </c>
      <c r="F48" t="s">
        <v>535</v>
      </c>
      <c r="G48" t="s">
        <v>269</v>
      </c>
      <c r="H48" t="s">
        <v>262</v>
      </c>
      <c r="I48" t="s">
        <v>352</v>
      </c>
      <c r="J48" t="s">
        <v>536</v>
      </c>
    </row>
    <row r="49" spans="1:10" ht="22" customHeight="1" x14ac:dyDescent="0.35">
      <c r="A49" t="s">
        <v>537</v>
      </c>
      <c r="B49" t="s">
        <v>538</v>
      </c>
      <c r="C49" t="s">
        <v>350</v>
      </c>
      <c r="D49" t="s">
        <v>472</v>
      </c>
      <c r="E49" s="66" t="s">
        <v>473</v>
      </c>
      <c r="F49" t="s">
        <v>539</v>
      </c>
      <c r="G49" t="s">
        <v>269</v>
      </c>
      <c r="H49" t="s">
        <v>262</v>
      </c>
      <c r="I49" t="s">
        <v>352</v>
      </c>
      <c r="J49" t="s">
        <v>540</v>
      </c>
    </row>
    <row r="50" spans="1:10" ht="22" customHeight="1" x14ac:dyDescent="0.35">
      <c r="A50" t="s">
        <v>541</v>
      </c>
      <c r="B50" t="s">
        <v>489</v>
      </c>
      <c r="C50" t="s">
        <v>350</v>
      </c>
      <c r="D50" t="s">
        <v>472</v>
      </c>
      <c r="E50" s="66" t="s">
        <v>473</v>
      </c>
      <c r="F50" t="s">
        <v>542</v>
      </c>
      <c r="G50" t="s">
        <v>269</v>
      </c>
      <c r="H50" t="s">
        <v>262</v>
      </c>
      <c r="I50" t="s">
        <v>352</v>
      </c>
      <c r="J50" t="s">
        <v>543</v>
      </c>
    </row>
  </sheetData>
  <conditionalFormatting sqref="C2:C21">
    <cfRule type="expression" dxfId="4" priority="4">
      <formula>$C2="Bhopal"</formula>
    </cfRule>
    <cfRule type="expression" dxfId="3" priority="5">
      <formula>$C2="Indore"</formula>
    </cfRule>
  </conditionalFormatting>
  <conditionalFormatting sqref="G2:G21">
    <cfRule type="expression" dxfId="2" priority="1">
      <formula>$G2="A"</formula>
    </cfRule>
    <cfRule type="expression" dxfId="1" priority="2">
      <formula>$G2="B"</formula>
    </cfRule>
    <cfRule type="expression" dxfId="0" priority="3">
      <formula>$G2="C"</formula>
    </cfRule>
  </conditionalFormatting>
  <dataValidations disablePrompts="1" count="3">
    <dataValidation type="list" allowBlank="1" showInputMessage="1" showErrorMessage="1" errorTitle="Invalid Entry" error="The value you entered is not valid." sqref="G2:G21" xr:uid="{EC80FEC1-B7FC-4AEC-8024-50DA40503A4C}">
      <formula1>"A,B,C"</formula1>
    </dataValidation>
    <dataValidation type="list" allowBlank="1" showInputMessage="1" showErrorMessage="1" errorTitle="Invalid Entry" error="The value you entered is not valid." sqref="H2:H21" xr:uid="{B3296075-8072-40E8-9310-1FE719B6547D}">
      <formula1>"New,Contacted,Engaged,Qualified,Negotiating,Won,Lost"</formula1>
    </dataValidation>
    <dataValidation type="list" allowBlank="1" showInputMessage="1" showErrorMessage="1" errorTitle="Invalid Entry" error="The value you entered is not valid." sqref="I2:I21" xr:uid="{87199F8C-1408-4050-BAD8-4FA71B48ABF9}">
      <formula1>"First Outreach,Follow-up Email,WhatsApp,Phone Call,Meeting,Demo,Proposal"</formula1>
    </dataValidation>
  </dataValidations>
  <hyperlinks>
    <hyperlink ref="F32" r:id="rId1" xr:uid="{4E91B328-BFD3-4F88-9B41-2FB8B2F0ABA4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0C6E-4DF4-48F2-95C9-2E00F4192954}">
  <dimension ref="A1:O10"/>
  <sheetViews>
    <sheetView tabSelected="1" workbookViewId="0">
      <selection activeCell="E9" sqref="E9"/>
    </sheetView>
  </sheetViews>
  <sheetFormatPr defaultRowHeight="14.5" x14ac:dyDescent="0.35"/>
  <cols>
    <col min="1" max="1" width="16.1796875" bestFit="1" customWidth="1"/>
    <col min="4" max="4" width="12.7265625" bestFit="1" customWidth="1"/>
    <col min="5" max="5" width="18.81640625" bestFit="1" customWidth="1"/>
    <col min="6" max="6" width="10.81640625" bestFit="1" customWidth="1"/>
    <col min="7" max="7" width="33.90625" bestFit="1" customWidth="1"/>
    <col min="9" max="9" width="9.36328125" bestFit="1" customWidth="1"/>
    <col min="10" max="10" width="15.6328125" bestFit="1" customWidth="1"/>
    <col min="12" max="12" width="12.36328125" bestFit="1" customWidth="1"/>
    <col min="14" max="14" width="14.7265625" bestFit="1" customWidth="1"/>
    <col min="15" max="15" width="38.90625" bestFit="1" customWidth="1"/>
  </cols>
  <sheetData>
    <row r="1" spans="1:15" x14ac:dyDescent="0.35">
      <c r="A1" s="68" t="s">
        <v>345</v>
      </c>
      <c r="B1" s="68" t="s">
        <v>248</v>
      </c>
      <c r="C1" s="68" t="s">
        <v>249</v>
      </c>
      <c r="D1" s="68" t="s">
        <v>346</v>
      </c>
      <c r="E1" s="68" t="s">
        <v>545</v>
      </c>
      <c r="F1" s="68" t="s">
        <v>250</v>
      </c>
      <c r="G1" s="68" t="s">
        <v>193</v>
      </c>
      <c r="H1" s="68" t="s">
        <v>251</v>
      </c>
      <c r="I1" s="68" t="s">
        <v>172</v>
      </c>
      <c r="J1" s="68" t="s">
        <v>252</v>
      </c>
      <c r="K1" s="68" t="s">
        <v>253</v>
      </c>
      <c r="L1" s="68" t="s">
        <v>254</v>
      </c>
      <c r="M1" s="68" t="s">
        <v>255</v>
      </c>
      <c r="N1" s="68" t="s">
        <v>256</v>
      </c>
      <c r="O1" s="68" t="s">
        <v>258</v>
      </c>
    </row>
    <row r="2" spans="1:15" x14ac:dyDescent="0.35">
      <c r="A2" t="s">
        <v>414</v>
      </c>
      <c r="B2" t="s">
        <v>546</v>
      </c>
      <c r="C2" t="s">
        <v>390</v>
      </c>
      <c r="D2" t="s">
        <v>349</v>
      </c>
      <c r="E2" t="s">
        <v>415</v>
      </c>
      <c r="F2">
        <v>9645486129</v>
      </c>
      <c r="G2" t="s">
        <v>417</v>
      </c>
      <c r="H2" t="s">
        <v>269</v>
      </c>
      <c r="I2" t="s">
        <v>174</v>
      </c>
      <c r="J2" s="69">
        <v>45781</v>
      </c>
      <c r="K2" t="s">
        <v>547</v>
      </c>
      <c r="L2" t="s">
        <v>548</v>
      </c>
      <c r="M2" t="s">
        <v>280</v>
      </c>
      <c r="N2" s="69">
        <v>45783</v>
      </c>
      <c r="O2" t="s">
        <v>549</v>
      </c>
    </row>
    <row r="3" spans="1:15" x14ac:dyDescent="0.35">
      <c r="A3" t="s">
        <v>419</v>
      </c>
      <c r="B3" t="s">
        <v>546</v>
      </c>
      <c r="C3" t="s">
        <v>390</v>
      </c>
      <c r="D3" t="s">
        <v>349</v>
      </c>
      <c r="E3" t="s">
        <v>420</v>
      </c>
      <c r="F3">
        <v>6264763216</v>
      </c>
      <c r="G3" t="s">
        <v>421</v>
      </c>
      <c r="H3" t="s">
        <v>269</v>
      </c>
      <c r="I3" t="s">
        <v>174</v>
      </c>
      <c r="J3" s="69">
        <v>45781</v>
      </c>
      <c r="K3" t="s">
        <v>547</v>
      </c>
      <c r="L3" t="s">
        <v>548</v>
      </c>
      <c r="M3" t="s">
        <v>280</v>
      </c>
      <c r="N3" s="69">
        <v>45783</v>
      </c>
      <c r="O3" t="s">
        <v>550</v>
      </c>
    </row>
    <row r="4" spans="1:15" x14ac:dyDescent="0.35">
      <c r="A4" t="s">
        <v>423</v>
      </c>
      <c r="B4" t="s">
        <v>546</v>
      </c>
      <c r="C4" t="s">
        <v>390</v>
      </c>
      <c r="D4" t="s">
        <v>349</v>
      </c>
      <c r="E4" t="s">
        <v>424</v>
      </c>
      <c r="F4">
        <v>8959907707</v>
      </c>
      <c r="G4" t="s">
        <v>260</v>
      </c>
      <c r="H4" t="s">
        <v>269</v>
      </c>
      <c r="I4" t="s">
        <v>174</v>
      </c>
      <c r="J4" s="69">
        <v>45781</v>
      </c>
      <c r="K4" t="s">
        <v>547</v>
      </c>
      <c r="L4" t="s">
        <v>548</v>
      </c>
      <c r="M4" t="s">
        <v>280</v>
      </c>
      <c r="N4" s="69">
        <v>45783</v>
      </c>
      <c r="O4" t="s">
        <v>551</v>
      </c>
    </row>
    <row r="5" spans="1:15" x14ac:dyDescent="0.35">
      <c r="A5" t="s">
        <v>427</v>
      </c>
      <c r="B5" t="s">
        <v>546</v>
      </c>
      <c r="C5" t="s">
        <v>390</v>
      </c>
      <c r="D5" t="s">
        <v>349</v>
      </c>
      <c r="E5" t="s">
        <v>428</v>
      </c>
      <c r="F5">
        <v>9644461111</v>
      </c>
      <c r="G5" t="s">
        <v>260</v>
      </c>
      <c r="H5" t="s">
        <v>269</v>
      </c>
      <c r="I5" t="s">
        <v>174</v>
      </c>
      <c r="J5" s="69">
        <v>45781</v>
      </c>
      <c r="K5" t="s">
        <v>547</v>
      </c>
      <c r="L5" t="s">
        <v>548</v>
      </c>
      <c r="M5" t="s">
        <v>280</v>
      </c>
      <c r="N5" s="69">
        <v>45783</v>
      </c>
      <c r="O5" t="s">
        <v>552</v>
      </c>
    </row>
    <row r="6" spans="1:15" x14ac:dyDescent="0.35">
      <c r="A6" t="s">
        <v>431</v>
      </c>
      <c r="B6" t="s">
        <v>546</v>
      </c>
      <c r="C6" t="s">
        <v>390</v>
      </c>
      <c r="D6" t="s">
        <v>349</v>
      </c>
      <c r="E6" t="s">
        <v>432</v>
      </c>
      <c r="F6">
        <v>9630096960</v>
      </c>
      <c r="G6" t="s">
        <v>434</v>
      </c>
      <c r="H6" t="s">
        <v>269</v>
      </c>
      <c r="I6" t="s">
        <v>174</v>
      </c>
      <c r="J6" s="69">
        <v>45781</v>
      </c>
      <c r="K6" t="s">
        <v>547</v>
      </c>
      <c r="L6" t="s">
        <v>548</v>
      </c>
      <c r="M6" t="s">
        <v>280</v>
      </c>
      <c r="N6" s="69">
        <v>45783</v>
      </c>
      <c r="O6" t="s">
        <v>553</v>
      </c>
    </row>
    <row r="7" spans="1:15" x14ac:dyDescent="0.35">
      <c r="A7" t="s">
        <v>435</v>
      </c>
      <c r="B7" t="s">
        <v>546</v>
      </c>
      <c r="C7" t="s">
        <v>390</v>
      </c>
      <c r="D7" t="s">
        <v>349</v>
      </c>
      <c r="E7" t="s">
        <v>554</v>
      </c>
      <c r="F7">
        <v>7828095165</v>
      </c>
      <c r="G7" t="s">
        <v>438</v>
      </c>
      <c r="H7" t="s">
        <v>269</v>
      </c>
      <c r="I7" t="s">
        <v>174</v>
      </c>
      <c r="J7" s="69">
        <v>45781</v>
      </c>
      <c r="K7" t="s">
        <v>547</v>
      </c>
      <c r="L7" t="s">
        <v>548</v>
      </c>
      <c r="M7" t="s">
        <v>280</v>
      </c>
      <c r="N7" s="69">
        <v>45783</v>
      </c>
      <c r="O7" t="s">
        <v>555</v>
      </c>
    </row>
    <row r="8" spans="1:15" x14ac:dyDescent="0.35">
      <c r="A8" t="s">
        <v>440</v>
      </c>
      <c r="B8" t="s">
        <v>546</v>
      </c>
      <c r="C8" t="s">
        <v>390</v>
      </c>
      <c r="D8" t="s">
        <v>349</v>
      </c>
      <c r="E8" t="s">
        <v>441</v>
      </c>
      <c r="F8">
        <v>7470890443</v>
      </c>
      <c r="G8" t="s">
        <v>260</v>
      </c>
      <c r="H8" t="s">
        <v>269</v>
      </c>
      <c r="I8" t="s">
        <v>174</v>
      </c>
      <c r="J8" s="69">
        <v>45781</v>
      </c>
      <c r="K8" t="s">
        <v>547</v>
      </c>
      <c r="L8" t="s">
        <v>548</v>
      </c>
      <c r="M8" t="s">
        <v>280</v>
      </c>
      <c r="N8" s="69">
        <v>45783</v>
      </c>
      <c r="O8" t="s">
        <v>556</v>
      </c>
    </row>
    <row r="9" spans="1:15" x14ac:dyDescent="0.35">
      <c r="A9" t="s">
        <v>442</v>
      </c>
      <c r="B9" t="s">
        <v>546</v>
      </c>
      <c r="C9" t="s">
        <v>390</v>
      </c>
      <c r="D9" t="s">
        <v>349</v>
      </c>
      <c r="E9" t="s">
        <v>443</v>
      </c>
      <c r="F9">
        <v>9926170579</v>
      </c>
      <c r="G9" t="s">
        <v>260</v>
      </c>
      <c r="H9" t="s">
        <v>269</v>
      </c>
      <c r="I9" t="s">
        <v>174</v>
      </c>
      <c r="J9" s="69">
        <v>45781</v>
      </c>
      <c r="K9" t="s">
        <v>547</v>
      </c>
      <c r="L9" t="s">
        <v>548</v>
      </c>
      <c r="M9" t="s">
        <v>280</v>
      </c>
      <c r="N9" s="69">
        <v>45783</v>
      </c>
      <c r="O9" t="s">
        <v>557</v>
      </c>
    </row>
    <row r="10" spans="1:15" x14ac:dyDescent="0.35">
      <c r="A10" t="s">
        <v>445</v>
      </c>
      <c r="B10" t="s">
        <v>546</v>
      </c>
      <c r="C10" t="s">
        <v>390</v>
      </c>
      <c r="D10" t="s">
        <v>349</v>
      </c>
      <c r="E10" t="s">
        <v>424</v>
      </c>
      <c r="F10">
        <v>9893925000</v>
      </c>
      <c r="G10" t="s">
        <v>260</v>
      </c>
      <c r="H10" t="s">
        <v>269</v>
      </c>
      <c r="I10" t="s">
        <v>174</v>
      </c>
      <c r="J10" s="69">
        <v>45781</v>
      </c>
      <c r="K10" t="s">
        <v>547</v>
      </c>
      <c r="L10" t="s">
        <v>548</v>
      </c>
      <c r="M10" t="s">
        <v>280</v>
      </c>
      <c r="N10" s="69">
        <v>45783</v>
      </c>
      <c r="O10" t="s">
        <v>558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5D49-DBE9-4A03-AF0B-708A8C8F2E8B}">
  <dimension ref="A1"/>
  <sheetViews>
    <sheetView workbookViewId="0"/>
  </sheetViews>
  <sheetFormatPr defaultRowHeight="14.5" x14ac:dyDescent="0.35"/>
  <cols>
    <col min="1" max="1" width="35.453125" customWidth="1"/>
  </cols>
  <sheetData>
    <row r="1" spans="1:1" x14ac:dyDescent="0.35">
      <c r="A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To-Do</vt:lpstr>
      <vt:lpstr>GTM Report</vt:lpstr>
      <vt:lpstr>Lead Tracker</vt:lpstr>
      <vt:lpstr>Doctor Outreach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Trivedi</dc:creator>
  <cp:lastModifiedBy>Kush Trivedi</cp:lastModifiedBy>
  <dcterms:created xsi:type="dcterms:W3CDTF">2026-05-04T06:43:32Z</dcterms:created>
  <dcterms:modified xsi:type="dcterms:W3CDTF">2026-05-04T14:25:11Z</dcterms:modified>
</cp:coreProperties>
</file>